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Freelancer\Project\Excel data\Top 5 Brand\Claude Analysis\Google Alphabet\"/>
    </mc:Choice>
  </mc:AlternateContent>
  <xr:revisionPtr revIDLastSave="0" documentId="13_ncr:1_{9D633473-3454-47FA-8308-F06C3B60E9A0}" xr6:coauthVersionLast="47" xr6:coauthVersionMax="47" xr10:uidLastSave="{00000000-0000-0000-0000-000000000000}"/>
  <bookViews>
    <workbookView xWindow="-110" yWindow="-110" windowWidth="19420" windowHeight="11500" tabRatio="740" xr2:uid="{00000000-000D-0000-FFFF-FFFF00000000}"/>
  </bookViews>
  <sheets>
    <sheet name="CLV Dashboard" sheetId="1" r:id="rId1"/>
    <sheet name="CLV Prediction Model" sheetId="2" r:id="rId2"/>
    <sheet name="Cohort &amp; Retention" sheetId="3" r:id="rId3"/>
    <sheet name="Churn Risk Register" sheetId="4" r:id="rId4"/>
    <sheet name="Sourc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1" i="4" l="1"/>
  <c r="G11" i="4"/>
  <c r="H10" i="4"/>
  <c r="H9" i="4"/>
  <c r="H8" i="4"/>
  <c r="H7" i="4"/>
  <c r="H6" i="4"/>
  <c r="H5" i="4"/>
  <c r="E18" i="3"/>
  <c r="D18" i="3"/>
  <c r="E17" i="3"/>
  <c r="D17" i="3"/>
  <c r="E16" i="3"/>
  <c r="D16" i="3"/>
  <c r="E15" i="3"/>
  <c r="D15" i="3"/>
  <c r="E14" i="3"/>
  <c r="D14" i="3"/>
  <c r="E13" i="3"/>
  <c r="D13" i="3"/>
  <c r="I8" i="3"/>
  <c r="H8" i="3"/>
  <c r="I7" i="3"/>
  <c r="H7" i="3"/>
  <c r="I6" i="3"/>
  <c r="H6" i="3"/>
  <c r="H5" i="3"/>
  <c r="I5" i="3" s="1"/>
  <c r="K26" i="2"/>
  <c r="F26" i="2"/>
  <c r="G26" i="2" s="1"/>
  <c r="B26" i="2"/>
  <c r="K25" i="2"/>
  <c r="G25" i="2"/>
  <c r="C25" i="2"/>
  <c r="I25" i="2" s="1"/>
  <c r="K24" i="2"/>
  <c r="I24" i="2"/>
  <c r="G24" i="2"/>
  <c r="E24" i="2"/>
  <c r="H24" i="2" s="1"/>
  <c r="C24" i="2"/>
  <c r="K23" i="2"/>
  <c r="I23" i="2"/>
  <c r="G23" i="2"/>
  <c r="E23" i="2"/>
  <c r="H23" i="2" s="1"/>
  <c r="C23" i="2"/>
  <c r="K22" i="2"/>
  <c r="I22" i="2"/>
  <c r="H22" i="2"/>
  <c r="L22" i="2" s="1"/>
  <c r="M22" i="2" s="1"/>
  <c r="G22" i="2"/>
  <c r="E22" i="2"/>
  <c r="C22" i="2"/>
  <c r="K21" i="2"/>
  <c r="G21" i="2"/>
  <c r="C21" i="2"/>
  <c r="I21" i="2" s="1"/>
  <c r="K20" i="2"/>
  <c r="I20" i="2"/>
  <c r="G20" i="2"/>
  <c r="E20" i="2"/>
  <c r="H20" i="2" s="1"/>
  <c r="C20" i="2"/>
  <c r="C26" i="2" s="1"/>
  <c r="B7" i="2"/>
  <c r="D29" i="1"/>
  <c r="C29" i="1"/>
  <c r="E29" i="1" s="1"/>
  <c r="B29" i="1"/>
  <c r="G29" i="1" s="1"/>
  <c r="G28" i="1"/>
  <c r="F28" i="1"/>
  <c r="G27" i="1"/>
  <c r="F27" i="1"/>
  <c r="G26" i="1"/>
  <c r="F26" i="1"/>
  <c r="G25" i="1"/>
  <c r="F25" i="1"/>
  <c r="G24" i="1"/>
  <c r="F24" i="1"/>
  <c r="G23" i="1"/>
  <c r="H17" i="1"/>
  <c r="H16" i="1"/>
  <c r="H18" i="1" s="1"/>
  <c r="H15" i="1"/>
  <c r="H14" i="1"/>
  <c r="H13" i="1"/>
  <c r="H12" i="1"/>
  <c r="J6" i="1"/>
  <c r="L24" i="2" l="1"/>
  <c r="M24" i="2" s="1"/>
  <c r="J24" i="2"/>
  <c r="I26" i="2"/>
  <c r="J23" i="2"/>
  <c r="L23" i="2"/>
  <c r="M23" i="2" s="1"/>
  <c r="L20" i="2"/>
  <c r="J20" i="2"/>
  <c r="E21" i="2"/>
  <c r="H21" i="2" s="1"/>
  <c r="E25" i="2"/>
  <c r="H25" i="2" s="1"/>
  <c r="J22" i="2"/>
  <c r="L25" i="2" l="1"/>
  <c r="M25" i="2" s="1"/>
  <c r="J25" i="2"/>
  <c r="L21" i="2"/>
  <c r="M21" i="2" s="1"/>
  <c r="J21" i="2"/>
  <c r="E26" i="2"/>
  <c r="D26" i="2" s="1"/>
  <c r="H26" i="2"/>
  <c r="J26" i="2" s="1"/>
  <c r="M20" i="2"/>
  <c r="L26" i="2" l="1"/>
</calcChain>
</file>

<file path=xl/sharedStrings.xml><?xml version="1.0" encoding="utf-8"?>
<sst xmlns="http://schemas.openxmlformats.org/spreadsheetml/2006/main" count="296" uniqueCount="195">
  <si>
    <t>Google / Alphabet  —  CLV Prediction Dashboard  |  H1 2026</t>
  </si>
  <si>
    <t>Prepared by: Rahima Akter Diti   |   Period: Jan-2026 to Jun-2026   |   Currency: USD millions</t>
  </si>
  <si>
    <t>KEY PERFORMANCE INDICATORS</t>
  </si>
  <si>
    <t>Total Revenue ($mm)</t>
  </si>
  <si>
    <t>Contribution Profit ($mm)</t>
  </si>
  <si>
    <t>Contribution Margin</t>
  </si>
  <si>
    <t>H1 Revenue Growth (Jan→Jun)</t>
  </si>
  <si>
    <t>Predicted CLV Index (H2 2026)</t>
  </si>
  <si>
    <t>CLV BY BUSINESS SEGMENT</t>
  </si>
  <si>
    <t>Segment / Category</t>
  </si>
  <si>
    <t>H1 Revenue ($mm)</t>
  </si>
  <si>
    <t>Margin %</t>
  </si>
  <si>
    <t>CLV Score (0-100)</t>
  </si>
  <si>
    <t>Churn Risk Score</t>
  </si>
  <si>
    <t>CAC Ratio</t>
  </si>
  <si>
    <t>Projected H2 Rev ($mm)</t>
  </si>
  <si>
    <t>Data Source Reference</t>
  </si>
  <si>
    <t>Search &amp; Other Ads</t>
  </si>
  <si>
    <t>Low (8%)</t>
  </si>
  <si>
    <t>1.8x</t>
  </si>
  <si>
    <t>Alphabet Q1 2026 / SEC Exhibit</t>
  </si>
  <si>
    <t>YouTube Ads</t>
  </si>
  <si>
    <t>Medium (18%)</t>
  </si>
  <si>
    <t>2.4x</t>
  </si>
  <si>
    <t>Network Ads</t>
  </si>
  <si>
    <t>Medium (22%)</t>
  </si>
  <si>
    <t>3.1x</t>
  </si>
  <si>
    <t>Alphabet 2025 10-K</t>
  </si>
  <si>
    <t>Subscriptions / Platforms / Devices</t>
  </si>
  <si>
    <t>Medium (20%)</t>
  </si>
  <si>
    <t>2.6x</t>
  </si>
  <si>
    <t>Google Cloud</t>
  </si>
  <si>
    <t>Low (12%)</t>
  </si>
  <si>
    <t>2.2x</t>
  </si>
  <si>
    <t>Other Bets</t>
  </si>
  <si>
    <t>High (100%)</t>
  </si>
  <si>
    <t>N/A</t>
  </si>
  <si>
    <t>TOTAL</t>
  </si>
  <si>
    <t>Blended</t>
  </si>
  <si>
    <t>2.1x</t>
  </si>
  <si>
    <t>All sources – see Sources sheet</t>
  </si>
  <si>
    <t>MONTHLY REVENUE &amp; MARGIN TREND  (Jan-Jun 2026)</t>
  </si>
  <si>
    <t>Month</t>
  </si>
  <si>
    <t>Revenue ($mm)</t>
  </si>
  <si>
    <t>Cost ($mm)</t>
  </si>
  <si>
    <t>MoM Rev Δ</t>
  </si>
  <si>
    <t>Cumulative Rev ($mm)</t>
  </si>
  <si>
    <t>Jan-2026</t>
  </si>
  <si>
    <t>Summary_by_Month sheet / Alphabet Q1 2026</t>
  </si>
  <si>
    <t>Feb-2026</t>
  </si>
  <si>
    <t>Mar-2026</t>
  </si>
  <si>
    <t>Apr-2026</t>
  </si>
  <si>
    <t>May-2026</t>
  </si>
  <si>
    <t>Jun-2026</t>
  </si>
  <si>
    <t>All Monthly Sources</t>
  </si>
  <si>
    <t>This analysis is for demonstration purposes based on modeled data. Internal Google/Alphabet disclosures may differ.</t>
  </si>
  <si>
    <t>Prepared by: Rahima Akter Diti</t>
  </si>
  <si>
    <t>Google / Alphabet  —  CLV Prediction Model  |  Detailed Calculation Logic</t>
  </si>
  <si>
    <t>Prepared by: Rahima Akter Diti   |   This analysis is for demonstration purposes based on modeled data. Internal Google/Alphabet disclosures may differ.</t>
  </si>
  <si>
    <t>MODEL ASSUMPTIONS (Blue = Inputs)</t>
  </si>
  <si>
    <t>Discount Rate (WACC)</t>
  </si>
  <si>
    <t>Industry proxy – 10% blended</t>
  </si>
  <si>
    <t>Customer Lifetime (years)</t>
  </si>
  <si>
    <t>Avg engagement lifecycle</t>
  </si>
  <si>
    <t>H1 2026 Avg Monthly Rev ($mm)</t>
  </si>
  <si>
    <t>Summary_by_Month / Alphabet Q1 2026</t>
  </si>
  <si>
    <t>Annual Churn Rate – Search (base)</t>
  </si>
  <si>
    <t>Service Rating: Strong status, NPS≈47</t>
  </si>
  <si>
    <t>Annual Churn Rate – YouTube</t>
  </si>
  <si>
    <t>Service Rating: Mixed NPS≈40</t>
  </si>
  <si>
    <t>Annual Churn Rate – Cloud</t>
  </si>
  <si>
    <t>B2B sticky; GCP growth</t>
  </si>
  <si>
    <t>Annual Churn Rate – Other Bets</t>
  </si>
  <si>
    <t>Improve status – 100%</t>
  </si>
  <si>
    <t>CAC – Search (% of rev)</t>
  </si>
  <si>
    <t>Advertising Platform allocation</t>
  </si>
  <si>
    <t>CAC – YouTube (% of rev)</t>
  </si>
  <si>
    <t>Content acquisition + platform costs</t>
  </si>
  <si>
    <t>CAC – Cloud (% of rev)</t>
  </si>
  <si>
    <t>Enterprise sales cycle</t>
  </si>
  <si>
    <t>Revenue Growth Rate H2 2026</t>
  </si>
  <si>
    <t>Anchored to Q1 2026 momentum</t>
  </si>
  <si>
    <t>PREDICTED CLV CALCULATION BY SEGMENT</t>
  </si>
  <si>
    <t>Segment</t>
  </si>
  <si>
    <t>H1 Rev ($mm)</t>
  </si>
  <si>
    <t>Annualised Rev ($mm)</t>
  </si>
  <si>
    <t>Annual Profit ($mm)</t>
  </si>
  <si>
    <t>Churn Rate</t>
  </si>
  <si>
    <t>Retention Rate</t>
  </si>
  <si>
    <t>Predicted CLV ($mm)</t>
  </si>
  <si>
    <t>CAC ($mm)</t>
  </si>
  <si>
    <t>Churn Risk Score (0-100)</t>
  </si>
  <si>
    <t>Net CLV ($mm)</t>
  </si>
  <si>
    <t>CLV Grade</t>
  </si>
  <si>
    <t>Alphabet Q1 2026 / SEC Exhibit / 10-K</t>
  </si>
  <si>
    <t>Subscriptions/Platforms/Dev</t>
  </si>
  <si>
    <t>All sources combined</t>
  </si>
  <si>
    <t>Google / Alphabet  —  Cohort &amp; Retention Analysis  |  H1 2026</t>
  </si>
  <si>
    <t>RETENTION RATE COHORT MATRIX  (by Acquisition Channel × Service Segment)</t>
  </si>
  <si>
    <t>Cohort (Channel)</t>
  </si>
  <si>
    <t>Search</t>
  </si>
  <si>
    <t>YouTube</t>
  </si>
  <si>
    <t>Sub/Plat/Dev</t>
  </si>
  <si>
    <t>Cloud</t>
  </si>
  <si>
    <t>Avg Retention</t>
  </si>
  <si>
    <t>Weighted CLV ($mm)</t>
  </si>
  <si>
    <t>Risk Tier</t>
  </si>
  <si>
    <t>NPS Proxy</t>
  </si>
  <si>
    <t>Subscription Platform</t>
  </si>
  <si>
    <t>Low</t>
  </si>
  <si>
    <t>Service_Rating Sheet / Modeled</t>
  </si>
  <si>
    <t>Partner Network</t>
  </si>
  <si>
    <t>Device Retail</t>
  </si>
  <si>
    <t>Low-Med</t>
  </si>
  <si>
    <t>Advertising Platform</t>
  </si>
  <si>
    <t>PROJECTED vs ACTUAL REVENUE  ($mm)  |  Actuals H1 2026 + H2 Forecast</t>
  </si>
  <si>
    <t>Period</t>
  </si>
  <si>
    <t>Actual Rev ($mm)</t>
  </si>
  <si>
    <t>Projected Rev ($mm)</t>
  </si>
  <si>
    <t>Variance ($mm)</t>
  </si>
  <si>
    <t>Variance %</t>
  </si>
  <si>
    <t>Margin Actual</t>
  </si>
  <si>
    <t>Margin Projected</t>
  </si>
  <si>
    <t>Status</t>
  </si>
  <si>
    <t>Actual</t>
  </si>
  <si>
    <t>Jul-2026 (F)</t>
  </si>
  <si>
    <t>N/A (Forecast)</t>
  </si>
  <si>
    <t>Forecast</t>
  </si>
  <si>
    <t>H2 Forecast: CLV model projection</t>
  </si>
  <si>
    <t>Aug-2026 (F)</t>
  </si>
  <si>
    <t>Sep-2026 (F)</t>
  </si>
  <si>
    <t>Oct-2026 (F)</t>
  </si>
  <si>
    <t>Nov-2026 (F)</t>
  </si>
  <si>
    <t>Dec-2026 (F)</t>
  </si>
  <si>
    <t>Google / Alphabet  —  Churn Risk Register  |  H1 2026 Service Intelligence</t>
  </si>
  <si>
    <t>SERVICE QUALITY &amp; CHURN SIGNAL MATRIX</t>
  </si>
  <si>
    <t>Category</t>
  </si>
  <si>
    <t>Avg Customer Rating (/5)</t>
  </si>
  <si>
    <t>NPS Score</t>
  </si>
  <si>
    <t>Issue Rate %</t>
  </si>
  <si>
    <t>Resolution SLA %</t>
  </si>
  <si>
    <t>Service Status</t>
  </si>
  <si>
    <t>Churn Risk %</t>
  </si>
  <si>
    <t>H1 Revenue at Risk ($mm)</t>
  </si>
  <si>
    <t>Recommended Action</t>
  </si>
  <si>
    <t>Priority</t>
  </si>
  <si>
    <t>Strong</t>
  </si>
  <si>
    <t>Sustain quality; expand commerce search</t>
  </si>
  <si>
    <t>Medium</t>
  </si>
  <si>
    <t>Stable</t>
  </si>
  <si>
    <t>Improve creator tools; boost NPS to 50+</t>
  </si>
  <si>
    <t>High</t>
  </si>
  <si>
    <t>AdSense SLA improvement + publisher support</t>
  </si>
  <si>
    <t>Subscriptions/Plat/Dev</t>
  </si>
  <si>
    <t>Increase Pixel/Nest retention programs</t>
  </si>
  <si>
    <t>Enterprise CSM program; improve uptime SLA</t>
  </si>
  <si>
    <t>Improve</t>
  </si>
  <si>
    <t>Monetisation pivot or portfolio exit required</t>
  </si>
  <si>
    <t>Critical</t>
  </si>
  <si>
    <t>TOTAL REVENUE AT RISK</t>
  </si>
  <si>
    <t>Google / Alphabet  —  Data Source Reference Register</t>
  </si>
  <si>
    <t>Source Name</t>
  </si>
  <si>
    <t>URL</t>
  </si>
  <si>
    <t>Use in Workbook</t>
  </si>
  <si>
    <t>Reliability</t>
  </si>
  <si>
    <t>Date Accessed</t>
  </si>
  <si>
    <t>Interbrand Best Global Brands 2025</t>
  </si>
  <si>
    <t>https://interbrand.com/best-global-brands/global/</t>
  </si>
  <si>
    <t>Top-five brand selection, CLV brand weight</t>
  </si>
  <si>
    <t>Brand ranking source</t>
  </si>
  <si>
    <t>Alphabet Q1 2026 Earnings Release</t>
  </si>
  <si>
    <t>https://s206.q4cdn.com/479360582/files/doc_financials/2026/q1/2026q1-alphabet-earnings-release.pdf</t>
  </si>
  <si>
    <t>Official Q1 segment growth and revenue context</t>
  </si>
  <si>
    <t>Company official</t>
  </si>
  <si>
    <t>Alphabet Q1 2026 SEC Exhibit 99.1</t>
  </si>
  <si>
    <t>https://www.sec.gov/Archives/edgar/data/1652044/000165204426000043/googexhibit991q12026.htm</t>
  </si>
  <si>
    <t>Official SEC earnings exhibit; segment data</t>
  </si>
  <si>
    <t>SEC/company filing</t>
  </si>
  <si>
    <t>Alphabet 2025 Annual Report (10-K)</t>
  </si>
  <si>
    <t>https://s206.q4cdn.com/479360582/files/doc_financials/2025/q4/GOOG-10-K-2025.pdf</t>
  </si>
  <si>
    <t>Annual segment structure, cost base, Other Bets</t>
  </si>
  <si>
    <t>Modeled Operational Data</t>
  </si>
  <si>
    <t>Internal workbook – Sales Detail sheet</t>
  </si>
  <si>
    <t>Branch/channel/country revenue and profit allocation</t>
  </si>
  <si>
    <t>Modeled – analyst-ready</t>
  </si>
  <si>
    <t>Service_Rating Sheet</t>
  </si>
  <si>
    <t>Internal workbook – Service_Rating sheet</t>
  </si>
  <si>
    <t>NPS, Issue Rate, Resolution SLA, Service Status</t>
  </si>
  <si>
    <t>Summary_by_Month Sheet</t>
  </si>
  <si>
    <t>Internal workbook – Summary_by_Month sheet</t>
  </si>
  <si>
    <t>Monthly revenue and margin trend</t>
  </si>
  <si>
    <t>Modeled – reconciled</t>
  </si>
  <si>
    <t>Summary_by_Category Sheet</t>
  </si>
  <si>
    <t>Internal workbook – Summary_by_Category sheet</t>
  </si>
  <si>
    <t>Segment revenue, margin,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</si>
</sst>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0.0%"/>
    <numFmt numFmtId="166" formatCode="\$#,##0.00"/>
    <numFmt numFmtId="167" formatCode="0.00\x"/>
  </numFmts>
  <fonts count="20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9"/>
      <color rgb="FF1A237E"/>
      <name val="Arial"/>
      <charset val="1"/>
    </font>
    <font>
      <b/>
      <sz val="20"/>
      <color rgb="FF1A237E"/>
      <name val="Arial"/>
      <charset val="1"/>
    </font>
    <font>
      <b/>
      <sz val="9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i/>
      <sz val="9"/>
      <color rgb="FF9E9E9E"/>
      <name val="Arial"/>
      <charset val="1"/>
    </font>
    <font>
      <b/>
      <sz val="14"/>
      <color rgb="FFFFFFFF"/>
      <name val="Arial"/>
      <charset val="1"/>
    </font>
    <font>
      <i/>
      <sz val="9"/>
      <color rgb="FFFFFFFF"/>
      <name val="Arial"/>
      <charset val="1"/>
    </font>
    <font>
      <b/>
      <sz val="10"/>
      <color rgb="FF1A237E"/>
      <name val="Arial"/>
      <charset val="1"/>
    </font>
    <font>
      <b/>
      <sz val="11"/>
      <color rgb="FF0000FF"/>
      <name val="Arial"/>
      <charset val="1"/>
    </font>
    <font>
      <sz val="9"/>
      <color rgb="FF616161"/>
      <name val="Arial"/>
      <charset val="1"/>
    </font>
    <font>
      <i/>
      <sz val="10"/>
      <color rgb="FF1565C0"/>
      <name val="Arial"/>
      <charset val="1"/>
    </font>
    <font>
      <b/>
      <sz val="10"/>
      <color rgb="FF1B5E20"/>
      <name val="Arial"/>
      <charset val="1"/>
    </font>
    <font>
      <b/>
      <sz val="10"/>
      <color rgb="FFE65100"/>
      <name val="Arial"/>
      <charset val="1"/>
    </font>
    <font>
      <b/>
      <sz val="10"/>
      <color rgb="FFB71C1C"/>
      <name val="Arial"/>
      <charset val="1"/>
    </font>
    <font>
      <b/>
      <sz val="10"/>
      <color rgb="FFFFFFFF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A237E"/>
        <bgColor rgb="FF283593"/>
      </patternFill>
    </fill>
    <fill>
      <patternFill patternType="solid">
        <fgColor rgb="FF283593"/>
        <bgColor rgb="FF1A237E"/>
      </patternFill>
    </fill>
    <fill>
      <patternFill patternType="solid">
        <fgColor rgb="FF42A5F5"/>
        <bgColor rgb="FF00CCFF"/>
      </patternFill>
    </fill>
    <fill>
      <patternFill patternType="solid">
        <fgColor rgb="FFE3F2FD"/>
        <bgColor rgb="FFFFEBEE"/>
      </patternFill>
    </fill>
    <fill>
      <patternFill patternType="solid">
        <fgColor rgb="FFFFFFFF"/>
        <bgColor rgb="FFFFFDE7"/>
      </patternFill>
    </fill>
    <fill>
      <patternFill patternType="solid">
        <fgColor rgb="FFF9A825"/>
        <bgColor rgb="FFFFCC00"/>
      </patternFill>
    </fill>
    <fill>
      <patternFill patternType="solid">
        <fgColor rgb="FFFFFDE7"/>
        <bgColor rgb="FFFFF8E1"/>
      </patternFill>
    </fill>
    <fill>
      <patternFill patternType="solid">
        <fgColor rgb="FFFFF8E1"/>
        <bgColor rgb="FFFFFDE7"/>
      </patternFill>
    </fill>
    <fill>
      <patternFill patternType="solid">
        <fgColor rgb="FFFFEBEE"/>
        <bgColor rgb="FFFFF8E1"/>
      </patternFill>
    </fill>
  </fills>
  <borders count="4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 style="thin">
        <color rgb="FFBDBDBD"/>
      </left>
      <right/>
      <top style="thin">
        <color rgb="FFBDBDBD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1" fillId="3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165" fontId="5" fillId="6" borderId="3" xfId="0" applyNumberFormat="1" applyFont="1" applyFill="1" applyBorder="1" applyAlignment="1">
      <alignment horizontal="center" vertical="center"/>
    </xf>
    <xf numFmtId="10" fontId="5" fillId="6" borderId="3" xfId="0" applyNumberFormat="1" applyFont="1" applyFill="1" applyBorder="1" applyAlignment="1">
      <alignment horizontal="center" vertical="center"/>
    </xf>
    <xf numFmtId="164" fontId="5" fillId="6" borderId="3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49" fontId="7" fillId="5" borderId="1" xfId="0" applyNumberFormat="1" applyFont="1" applyFill="1" applyBorder="1" applyAlignment="1">
      <alignment horizontal="left" vertical="center"/>
    </xf>
    <xf numFmtId="166" fontId="7" fillId="5" borderId="1" xfId="0" applyNumberFormat="1" applyFont="1" applyFill="1" applyBorder="1" applyAlignment="1">
      <alignment horizontal="right" vertical="center"/>
    </xf>
    <xf numFmtId="10" fontId="7" fillId="5" borderId="1" xfId="0" applyNumberFormat="1" applyFont="1" applyFill="1" applyBorder="1" applyAlignment="1">
      <alignment horizontal="right" vertical="center"/>
    </xf>
    <xf numFmtId="1" fontId="7" fillId="5" borderId="1" xfId="0" applyNumberFormat="1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right" vertical="center"/>
    </xf>
    <xf numFmtId="49" fontId="7" fillId="6" borderId="1" xfId="0" applyNumberFormat="1" applyFont="1" applyFill="1" applyBorder="1" applyAlignment="1">
      <alignment horizontal="left" vertical="center"/>
    </xf>
    <xf numFmtId="166" fontId="7" fillId="6" borderId="1" xfId="0" applyNumberFormat="1" applyFont="1" applyFill="1" applyBorder="1" applyAlignment="1">
      <alignment horizontal="right" vertical="center"/>
    </xf>
    <xf numFmtId="10" fontId="7" fillId="6" borderId="1" xfId="0" applyNumberFormat="1" applyFont="1" applyFill="1" applyBorder="1" applyAlignment="1">
      <alignment horizontal="right" vertical="center"/>
    </xf>
    <xf numFmtId="1" fontId="7" fillId="6" borderId="1" xfId="0" applyNumberFormat="1" applyFont="1" applyFill="1" applyBorder="1" applyAlignment="1">
      <alignment horizontal="center" vertical="center"/>
    </xf>
    <xf numFmtId="49" fontId="7" fillId="6" borderId="1" xfId="0" applyNumberFormat="1" applyFont="1" applyFill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right" vertical="center"/>
    </xf>
    <xf numFmtId="49" fontId="8" fillId="7" borderId="1" xfId="0" applyNumberFormat="1" applyFont="1" applyFill="1" applyBorder="1" applyAlignment="1">
      <alignment horizontal="left" vertical="center"/>
    </xf>
    <xf numFmtId="166" fontId="8" fillId="7" borderId="1" xfId="0" applyNumberFormat="1" applyFont="1" applyFill="1" applyBorder="1" applyAlignment="1">
      <alignment horizontal="right" vertical="center"/>
    </xf>
    <xf numFmtId="10" fontId="8" fillId="7" borderId="1" xfId="0" applyNumberFormat="1" applyFont="1" applyFill="1" applyBorder="1" applyAlignment="1">
      <alignment horizontal="right" vertical="center"/>
    </xf>
    <xf numFmtId="1" fontId="8" fillId="7" borderId="1" xfId="0" applyNumberFormat="1" applyFont="1" applyFill="1" applyBorder="1" applyAlignment="1">
      <alignment horizontal="center" vertical="center"/>
    </xf>
    <xf numFmtId="49" fontId="8" fillId="7" borderId="1" xfId="0" applyNumberFormat="1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right" vertical="center"/>
    </xf>
    <xf numFmtId="165" fontId="7" fillId="5" borderId="1" xfId="0" applyNumberFormat="1" applyFont="1" applyFill="1" applyBorder="1" applyAlignment="1">
      <alignment horizontal="center" vertical="center"/>
    </xf>
    <xf numFmtId="165" fontId="7" fillId="6" borderId="1" xfId="0" applyNumberFormat="1" applyFont="1" applyFill="1" applyBorder="1" applyAlignment="1">
      <alignment horizontal="center" vertical="center"/>
    </xf>
    <xf numFmtId="49" fontId="8" fillId="7" borderId="1" xfId="0" applyNumberFormat="1" applyFont="1" applyFill="1" applyBorder="1" applyAlignment="1">
      <alignment horizontal="right" vertical="center"/>
    </xf>
    <xf numFmtId="0" fontId="12" fillId="5" borderId="1" xfId="0" applyFont="1" applyFill="1" applyBorder="1" applyAlignment="1">
      <alignment horizontal="left" vertical="center"/>
    </xf>
    <xf numFmtId="165" fontId="13" fillId="8" borderId="1" xfId="0" applyNumberFormat="1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left" vertical="center"/>
    </xf>
    <xf numFmtId="1" fontId="13" fillId="8" borderId="1" xfId="0" applyNumberFormat="1" applyFont="1" applyFill="1" applyBorder="1" applyAlignment="1">
      <alignment horizontal="center" vertical="center"/>
    </xf>
    <xf numFmtId="166" fontId="13" fillId="8" borderId="1" xfId="0" applyNumberFormat="1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left" vertical="center"/>
    </xf>
    <xf numFmtId="165" fontId="7" fillId="5" borderId="1" xfId="0" applyNumberFormat="1" applyFont="1" applyFill="1" applyBorder="1" applyAlignment="1">
      <alignment horizontal="right" vertical="center"/>
    </xf>
    <xf numFmtId="167" fontId="7" fillId="5" borderId="1" xfId="0" applyNumberFormat="1" applyFont="1" applyFill="1" applyBorder="1" applyAlignment="1">
      <alignment horizontal="right" vertical="center"/>
    </xf>
    <xf numFmtId="49" fontId="8" fillId="6" borderId="1" xfId="0" applyNumberFormat="1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right" vertical="center"/>
    </xf>
    <xf numFmtId="167" fontId="7" fillId="6" borderId="1" xfId="0" applyNumberFormat="1" applyFont="1" applyFill="1" applyBorder="1" applyAlignment="1">
      <alignment horizontal="right" vertical="center"/>
    </xf>
    <xf numFmtId="165" fontId="8" fillId="7" borderId="1" xfId="0" applyNumberFormat="1" applyFont="1" applyFill="1" applyBorder="1" applyAlignment="1">
      <alignment horizontal="right" vertical="center"/>
    </xf>
    <xf numFmtId="167" fontId="8" fillId="7" borderId="1" xfId="0" applyNumberFormat="1" applyFont="1" applyFill="1" applyBorder="1" applyAlignment="1">
      <alignment horizontal="right" vertical="center"/>
    </xf>
    <xf numFmtId="9" fontId="7" fillId="5" borderId="1" xfId="0" applyNumberFormat="1" applyFont="1" applyFill="1" applyBorder="1" applyAlignment="1">
      <alignment horizontal="center" vertical="center"/>
    </xf>
    <xf numFmtId="9" fontId="7" fillId="6" borderId="1" xfId="0" applyNumberFormat="1" applyFont="1" applyFill="1" applyBorder="1" applyAlignment="1">
      <alignment horizontal="center" vertical="center"/>
    </xf>
    <xf numFmtId="49" fontId="15" fillId="9" borderId="1" xfId="0" applyNumberFormat="1" applyFont="1" applyFill="1" applyBorder="1" applyAlignment="1">
      <alignment horizontal="center" vertical="center"/>
    </xf>
    <xf numFmtId="166" fontId="15" fillId="9" borderId="1" xfId="0" applyNumberFormat="1" applyFont="1" applyFill="1" applyBorder="1" applyAlignment="1">
      <alignment horizontal="right" vertical="center"/>
    </xf>
    <xf numFmtId="165" fontId="15" fillId="9" borderId="1" xfId="0" applyNumberFormat="1" applyFont="1" applyFill="1" applyBorder="1" applyAlignment="1">
      <alignment horizontal="right" vertical="center"/>
    </xf>
    <xf numFmtId="10" fontId="15" fillId="9" borderId="1" xfId="0" applyNumberFormat="1" applyFont="1" applyFill="1" applyBorder="1" applyAlignment="1">
      <alignment horizontal="right" vertical="center"/>
    </xf>
    <xf numFmtId="49" fontId="15" fillId="9" borderId="1" xfId="0" applyNumberFormat="1" applyFont="1" applyFill="1" applyBorder="1" applyAlignment="1">
      <alignment horizontal="left" vertical="center"/>
    </xf>
    <xf numFmtId="2" fontId="7" fillId="5" borderId="1" xfId="0" applyNumberFormat="1" applyFont="1" applyFill="1" applyBorder="1" applyAlignment="1">
      <alignment horizontal="center" vertical="center"/>
    </xf>
    <xf numFmtId="10" fontId="7" fillId="5" borderId="1" xfId="0" applyNumberFormat="1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left" vertical="center" wrapText="1"/>
    </xf>
    <xf numFmtId="49" fontId="16" fillId="5" borderId="1" xfId="0" applyNumberFormat="1" applyFont="1" applyFill="1" applyBorder="1" applyAlignment="1">
      <alignment horizontal="center" vertical="center"/>
    </xf>
    <xf numFmtId="2" fontId="7" fillId="6" borderId="1" xfId="0" applyNumberFormat="1" applyFont="1" applyFill="1" applyBorder="1" applyAlignment="1">
      <alignment horizontal="center" vertical="center"/>
    </xf>
    <xf numFmtId="10" fontId="7" fillId="6" borderId="1" xfId="0" applyNumberFormat="1" applyFont="1" applyFill="1" applyBorder="1" applyAlignment="1">
      <alignment horizontal="center" vertical="center"/>
    </xf>
    <xf numFmtId="49" fontId="7" fillId="6" borderId="1" xfId="0" applyNumberFormat="1" applyFont="1" applyFill="1" applyBorder="1" applyAlignment="1">
      <alignment horizontal="left" vertical="center" wrapText="1"/>
    </xf>
    <xf numFmtId="49" fontId="17" fillId="6" borderId="1" xfId="0" applyNumberFormat="1" applyFont="1" applyFill="1" applyBorder="1" applyAlignment="1">
      <alignment horizontal="center" vertical="center"/>
    </xf>
    <xf numFmtId="49" fontId="17" fillId="5" borderId="1" xfId="0" applyNumberFormat="1" applyFont="1" applyFill="1" applyBorder="1" applyAlignment="1">
      <alignment horizontal="center" vertical="center"/>
    </xf>
    <xf numFmtId="49" fontId="16" fillId="6" borderId="1" xfId="0" applyNumberFormat="1" applyFont="1" applyFill="1" applyBorder="1" applyAlignment="1">
      <alignment horizontal="center" vertical="center"/>
    </xf>
    <xf numFmtId="49" fontId="8" fillId="10" borderId="1" xfId="0" applyNumberFormat="1" applyFont="1" applyFill="1" applyBorder="1" applyAlignment="1">
      <alignment horizontal="left" vertical="center"/>
    </xf>
    <xf numFmtId="2" fontId="8" fillId="10" borderId="1" xfId="0" applyNumberFormat="1" applyFont="1" applyFill="1" applyBorder="1" applyAlignment="1">
      <alignment horizontal="center" vertical="center"/>
    </xf>
    <xf numFmtId="1" fontId="8" fillId="10" borderId="1" xfId="0" applyNumberFormat="1" applyFont="1" applyFill="1" applyBorder="1" applyAlignment="1">
      <alignment horizontal="center" vertical="center"/>
    </xf>
    <xf numFmtId="10" fontId="8" fillId="10" borderId="1" xfId="0" applyNumberFormat="1" applyFont="1" applyFill="1" applyBorder="1" applyAlignment="1">
      <alignment horizontal="center" vertical="center"/>
    </xf>
    <xf numFmtId="49" fontId="8" fillId="10" borderId="1" xfId="0" applyNumberFormat="1" applyFont="1" applyFill="1" applyBorder="1" applyAlignment="1">
      <alignment horizontal="center" vertical="center"/>
    </xf>
    <xf numFmtId="165" fontId="8" fillId="10" borderId="1" xfId="0" applyNumberFormat="1" applyFont="1" applyFill="1" applyBorder="1" applyAlignment="1">
      <alignment horizontal="center" vertical="center"/>
    </xf>
    <xf numFmtId="166" fontId="8" fillId="10" borderId="1" xfId="0" applyNumberFormat="1" applyFont="1" applyFill="1" applyBorder="1" applyAlignment="1">
      <alignment horizontal="right" vertical="center"/>
    </xf>
    <xf numFmtId="49" fontId="8" fillId="10" borderId="1" xfId="0" applyNumberFormat="1" applyFont="1" applyFill="1" applyBorder="1" applyAlignment="1">
      <alignment horizontal="left" vertical="center" wrapText="1"/>
    </xf>
    <xf numFmtId="49" fontId="18" fillId="10" borderId="1" xfId="0" applyNumberFormat="1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FF8E1"/>
      <rgbColor rgb="FFE3F2FD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EBEE"/>
      <rgbColor rgb="FFCCFFCC"/>
      <rgbColor rgb="FFFFFDE7"/>
      <rgbColor rgb="FF99CCFF"/>
      <rgbColor rgb="FFFF99CC"/>
      <rgbColor rgb="FFCC99FF"/>
      <rgbColor rgb="FFFFCC99"/>
      <rgbColor rgb="FF3366FF"/>
      <rgbColor rgb="FF42A5F5"/>
      <rgbColor rgb="FF99CC00"/>
      <rgbColor rgb="FFFFCC00"/>
      <rgbColor rgb="FFF9A825"/>
      <rgbColor rgb="FFE65100"/>
      <rgbColor rgb="FF616161"/>
      <rgbColor rgb="FF9E9E9E"/>
      <rgbColor rgb="FF1A237E"/>
      <rgbColor rgb="FF339966"/>
      <rgbColor rgb="FF003300"/>
      <rgbColor rgb="FF333300"/>
      <rgbColor rgb="FFB71C1C"/>
      <rgbColor rgb="FF993366"/>
      <rgbColor rgb="FF283593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showGridLines="0" tabSelected="1" zoomScaleNormal="100" workbookViewId="0">
      <selection sqref="A1:O1"/>
    </sheetView>
  </sheetViews>
  <sheetFormatPr defaultColWidth="8.6328125" defaultRowHeight="14.5" x14ac:dyDescent="0.35"/>
  <cols>
    <col min="1" max="1" width="32" customWidth="1"/>
    <col min="2" max="2" width="16" customWidth="1"/>
    <col min="3" max="3" width="22" customWidth="1"/>
    <col min="4" max="4" width="16" customWidth="1"/>
    <col min="5" max="5" width="14" customWidth="1"/>
    <col min="6" max="6" width="18" customWidth="1"/>
    <col min="7" max="7" width="11.54296875" customWidth="1"/>
    <col min="8" max="8" width="20" customWidth="1"/>
    <col min="9" max="9" width="38" customWidth="1"/>
  </cols>
  <sheetData>
    <row r="1" spans="1:15" ht="36" customHeight="1" x14ac:dyDescent="0.3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ht="19.5" customHeight="1" x14ac:dyDescent="0.3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4" spans="1:15" ht="21.75" customHeight="1" x14ac:dyDescent="0.3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ht="18" customHeight="1" x14ac:dyDescent="0.35">
      <c r="A5" s="8" t="s">
        <v>3</v>
      </c>
      <c r="B5" s="8"/>
      <c r="C5" s="8"/>
      <c r="D5" s="8" t="s">
        <v>4</v>
      </c>
      <c r="E5" s="8"/>
      <c r="F5" s="8"/>
      <c r="G5" s="8" t="s">
        <v>5</v>
      </c>
      <c r="H5" s="8"/>
      <c r="I5" s="8"/>
      <c r="J5" s="8" t="s">
        <v>6</v>
      </c>
      <c r="K5" s="8"/>
      <c r="L5" s="8"/>
      <c r="M5" s="8" t="s">
        <v>7</v>
      </c>
      <c r="N5" s="8"/>
      <c r="O5" s="8"/>
    </row>
    <row r="6" spans="1:15" ht="18" customHeight="1" x14ac:dyDescent="0.35">
      <c r="A6" s="7">
        <v>224000</v>
      </c>
      <c r="B6" s="7"/>
      <c r="C6" s="7"/>
      <c r="D6" s="7">
        <v>102092.4</v>
      </c>
      <c r="E6" s="7"/>
      <c r="F6" s="7"/>
      <c r="G6" s="6">
        <v>0.45577000000000001</v>
      </c>
      <c r="H6" s="6"/>
      <c r="I6" s="6"/>
      <c r="J6" s="5">
        <f>((42228.31-35206.73)/35206.73)</f>
        <v>0.19943857325005743</v>
      </c>
      <c r="K6" s="5"/>
      <c r="L6" s="5"/>
      <c r="M6" s="7">
        <v>285000</v>
      </c>
      <c r="N6" s="7"/>
      <c r="O6" s="7"/>
    </row>
    <row r="7" spans="1:15" ht="18" customHeight="1" x14ac:dyDescent="0.35">
      <c r="A7" s="7"/>
      <c r="B7" s="7"/>
      <c r="C7" s="7"/>
      <c r="D7" s="7"/>
      <c r="E7" s="7"/>
      <c r="F7" s="7"/>
      <c r="G7" s="6"/>
      <c r="H7" s="6"/>
      <c r="I7" s="6"/>
      <c r="J7" s="5"/>
      <c r="K7" s="5"/>
      <c r="L7" s="5"/>
      <c r="M7" s="7"/>
      <c r="N7" s="7"/>
      <c r="O7" s="7"/>
    </row>
    <row r="8" spans="1:15" ht="18" customHeight="1" x14ac:dyDescent="0.35">
      <c r="A8" s="7"/>
      <c r="B8" s="7"/>
      <c r="C8" s="7"/>
      <c r="D8" s="7"/>
      <c r="E8" s="7"/>
      <c r="F8" s="7"/>
      <c r="G8" s="6"/>
      <c r="H8" s="6"/>
      <c r="I8" s="6"/>
      <c r="J8" s="5"/>
      <c r="K8" s="5"/>
      <c r="L8" s="5"/>
      <c r="M8" s="7"/>
      <c r="N8" s="7"/>
      <c r="O8" s="7"/>
    </row>
    <row r="10" spans="1:15" ht="21.75" customHeight="1" x14ac:dyDescent="0.35">
      <c r="A10" s="9" t="s">
        <v>8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5" ht="31.5" customHeight="1" x14ac:dyDescent="0.35">
      <c r="A11" s="12" t="s">
        <v>9</v>
      </c>
      <c r="B11" s="12" t="s">
        <v>10</v>
      </c>
      <c r="C11" s="12" t="s">
        <v>4</v>
      </c>
      <c r="D11" s="12" t="s">
        <v>11</v>
      </c>
      <c r="E11" s="12" t="s">
        <v>12</v>
      </c>
      <c r="F11" s="12" t="s">
        <v>13</v>
      </c>
      <c r="G11" s="12" t="s">
        <v>14</v>
      </c>
      <c r="H11" s="12" t="s">
        <v>15</v>
      </c>
      <c r="I11" s="12" t="s">
        <v>16</v>
      </c>
    </row>
    <row r="12" spans="1:15" ht="15.75" customHeight="1" x14ac:dyDescent="0.35">
      <c r="A12" s="13" t="s">
        <v>17</v>
      </c>
      <c r="B12" s="14">
        <v>123474.6</v>
      </c>
      <c r="C12" s="14">
        <v>76554.25</v>
      </c>
      <c r="D12" s="15">
        <v>0.62</v>
      </c>
      <c r="E12" s="16">
        <v>92</v>
      </c>
      <c r="F12" s="17" t="s">
        <v>18</v>
      </c>
      <c r="G12" s="17" t="s">
        <v>19</v>
      </c>
      <c r="H12" s="18">
        <f>B12*1.13</f>
        <v>139526.29799999998</v>
      </c>
      <c r="I12" s="13" t="s">
        <v>20</v>
      </c>
    </row>
    <row r="13" spans="1:15" ht="15.75" customHeight="1" x14ac:dyDescent="0.35">
      <c r="A13" s="19" t="s">
        <v>21</v>
      </c>
      <c r="B13" s="20">
        <v>22245.84</v>
      </c>
      <c r="C13" s="20">
        <v>7786.04</v>
      </c>
      <c r="D13" s="21">
        <v>0.35</v>
      </c>
      <c r="E13" s="22">
        <v>74</v>
      </c>
      <c r="F13" s="23" t="s">
        <v>22</v>
      </c>
      <c r="G13" s="23" t="s">
        <v>23</v>
      </c>
      <c r="H13" s="24">
        <f>B13*1.1</f>
        <v>24470.424000000003</v>
      </c>
      <c r="I13" s="19" t="s">
        <v>20</v>
      </c>
    </row>
    <row r="14" spans="1:15" ht="15.75" customHeight="1" x14ac:dyDescent="0.35">
      <c r="A14" s="13" t="s">
        <v>24</v>
      </c>
      <c r="B14" s="14">
        <v>13434.54</v>
      </c>
      <c r="C14" s="14">
        <v>3224.29</v>
      </c>
      <c r="D14" s="15">
        <v>0.24</v>
      </c>
      <c r="E14" s="16">
        <v>58</v>
      </c>
      <c r="F14" s="17" t="s">
        <v>25</v>
      </c>
      <c r="G14" s="17" t="s">
        <v>26</v>
      </c>
      <c r="H14" s="18">
        <f>B14*1.07</f>
        <v>14374.957800000002</v>
      </c>
      <c r="I14" s="13" t="s">
        <v>27</v>
      </c>
    </row>
    <row r="15" spans="1:15" ht="15.75" customHeight="1" x14ac:dyDescent="0.35">
      <c r="A15" s="19" t="s">
        <v>28</v>
      </c>
      <c r="B15" s="20">
        <v>28946.04</v>
      </c>
      <c r="C15" s="20">
        <v>8683.81</v>
      </c>
      <c r="D15" s="21">
        <v>0.3</v>
      </c>
      <c r="E15" s="22">
        <v>71</v>
      </c>
      <c r="F15" s="23" t="s">
        <v>29</v>
      </c>
      <c r="G15" s="23" t="s">
        <v>30</v>
      </c>
      <c r="H15" s="24">
        <f>B15*1.09</f>
        <v>31551.183600000004</v>
      </c>
      <c r="I15" s="19" t="s">
        <v>20</v>
      </c>
    </row>
    <row r="16" spans="1:15" ht="15.75" customHeight="1" x14ac:dyDescent="0.35">
      <c r="A16" s="13" t="s">
        <v>31</v>
      </c>
      <c r="B16" s="14">
        <v>33672.660000000003</v>
      </c>
      <c r="C16" s="14">
        <v>6734.53</v>
      </c>
      <c r="D16" s="15">
        <v>0.2</v>
      </c>
      <c r="E16" s="16">
        <v>68</v>
      </c>
      <c r="F16" s="17" t="s">
        <v>32</v>
      </c>
      <c r="G16" s="17" t="s">
        <v>33</v>
      </c>
      <c r="H16" s="18">
        <f>B16*1.15</f>
        <v>38723.559000000001</v>
      </c>
      <c r="I16" s="13" t="s">
        <v>20</v>
      </c>
    </row>
    <row r="17" spans="1:15" ht="15.75" customHeight="1" x14ac:dyDescent="0.35">
      <c r="A17" s="19" t="s">
        <v>34</v>
      </c>
      <c r="B17" s="20">
        <v>2226.3200000000002</v>
      </c>
      <c r="C17" s="20">
        <v>-890.53</v>
      </c>
      <c r="D17" s="21">
        <v>-0.4</v>
      </c>
      <c r="E17" s="22">
        <v>22</v>
      </c>
      <c r="F17" s="23" t="s">
        <v>35</v>
      </c>
      <c r="G17" s="23" t="s">
        <v>36</v>
      </c>
      <c r="H17" s="24">
        <f>B17*0.95</f>
        <v>2115.0039999999999</v>
      </c>
      <c r="I17" s="19" t="s">
        <v>27</v>
      </c>
    </row>
    <row r="18" spans="1:15" ht="15.75" customHeight="1" x14ac:dyDescent="0.35">
      <c r="A18" s="25" t="s">
        <v>37</v>
      </c>
      <c r="B18" s="26">
        <v>224000</v>
      </c>
      <c r="C18" s="26">
        <v>102092.4</v>
      </c>
      <c r="D18" s="27">
        <v>0.45600000000000002</v>
      </c>
      <c r="E18" s="28">
        <v>79</v>
      </c>
      <c r="F18" s="29" t="s">
        <v>38</v>
      </c>
      <c r="G18" s="29" t="s">
        <v>39</v>
      </c>
      <c r="H18" s="30">
        <f>SUM(H13:H17)</f>
        <v>111235.1284</v>
      </c>
      <c r="I18" s="25" t="s">
        <v>40</v>
      </c>
    </row>
    <row r="21" spans="1:15" ht="21.75" customHeight="1" x14ac:dyDescent="0.35">
      <c r="A21" s="9" t="s">
        <v>41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spans="1:15" ht="27.75" customHeight="1" x14ac:dyDescent="0.35">
      <c r="A22" s="12" t="s">
        <v>42</v>
      </c>
      <c r="B22" s="12" t="s">
        <v>43</v>
      </c>
      <c r="C22" s="12" t="s">
        <v>4</v>
      </c>
      <c r="D22" s="12" t="s">
        <v>44</v>
      </c>
      <c r="E22" s="12" t="s">
        <v>11</v>
      </c>
      <c r="F22" s="12" t="s">
        <v>45</v>
      </c>
      <c r="G22" s="12" t="s">
        <v>46</v>
      </c>
      <c r="H22" s="12" t="s">
        <v>16</v>
      </c>
    </row>
    <row r="23" spans="1:15" ht="15.75" customHeight="1" x14ac:dyDescent="0.35">
      <c r="A23" s="17" t="s">
        <v>47</v>
      </c>
      <c r="B23" s="14">
        <v>35206.730000000003</v>
      </c>
      <c r="C23" s="14">
        <v>16099.5</v>
      </c>
      <c r="D23" s="14">
        <v>19107.23</v>
      </c>
      <c r="E23" s="15">
        <v>0.45729999999999998</v>
      </c>
      <c r="F23" s="31" t="s">
        <v>36</v>
      </c>
      <c r="G23" s="14">
        <f>SUM($B$23:B23)</f>
        <v>35206.730000000003</v>
      </c>
      <c r="H23" s="13" t="s">
        <v>48</v>
      </c>
    </row>
    <row r="24" spans="1:15" ht="15.75" customHeight="1" x14ac:dyDescent="0.35">
      <c r="A24" s="23" t="s">
        <v>49</v>
      </c>
      <c r="B24" s="20">
        <v>32401.58</v>
      </c>
      <c r="C24" s="20">
        <v>14752.67</v>
      </c>
      <c r="D24" s="20">
        <v>17648.91</v>
      </c>
      <c r="E24" s="21">
        <v>0.45529999999999998</v>
      </c>
      <c r="F24" s="32">
        <f>(B24-B23)/B23</f>
        <v>-7.9676527754778737E-2</v>
      </c>
      <c r="G24" s="20">
        <f>SUM($B$23:B24)</f>
        <v>67608.31</v>
      </c>
      <c r="H24" s="19" t="s">
        <v>48</v>
      </c>
    </row>
    <row r="25" spans="1:15" ht="15.75" customHeight="1" x14ac:dyDescent="0.35">
      <c r="A25" s="17" t="s">
        <v>50</v>
      </c>
      <c r="B25" s="14">
        <v>36952.18</v>
      </c>
      <c r="C25" s="14">
        <v>16893.240000000002</v>
      </c>
      <c r="D25" s="14">
        <v>20058.939999999999</v>
      </c>
      <c r="E25" s="15">
        <v>0.4572</v>
      </c>
      <c r="F25" s="31">
        <f>(B25-B24)/B24</f>
        <v>0.14044376848289492</v>
      </c>
      <c r="G25" s="14">
        <f>SUM($B$23:B25)</f>
        <v>104560.48999999999</v>
      </c>
      <c r="H25" s="13" t="s">
        <v>48</v>
      </c>
    </row>
    <row r="26" spans="1:15" ht="15.75" customHeight="1" x14ac:dyDescent="0.35">
      <c r="A26" s="23" t="s">
        <v>51</v>
      </c>
      <c r="B26" s="20">
        <v>37258.379999999997</v>
      </c>
      <c r="C26" s="20">
        <v>17027.47</v>
      </c>
      <c r="D26" s="20">
        <v>20230.91</v>
      </c>
      <c r="E26" s="21">
        <v>0.45700000000000002</v>
      </c>
      <c r="F26" s="32">
        <f>(B26-B25)/B25</f>
        <v>8.2863852687445529E-3</v>
      </c>
      <c r="G26" s="20">
        <f>SUM($B$23:B26)</f>
        <v>141818.87</v>
      </c>
      <c r="H26" s="19" t="s">
        <v>48</v>
      </c>
    </row>
    <row r="27" spans="1:15" ht="15.75" customHeight="1" x14ac:dyDescent="0.35">
      <c r="A27" s="17" t="s">
        <v>52</v>
      </c>
      <c r="B27" s="14">
        <v>39952.82</v>
      </c>
      <c r="C27" s="14">
        <v>18111.22</v>
      </c>
      <c r="D27" s="14">
        <v>21841.599999999999</v>
      </c>
      <c r="E27" s="15">
        <v>0.45329999999999998</v>
      </c>
      <c r="F27" s="31">
        <f>(B27-B26)/B26</f>
        <v>7.2317690677909302E-2</v>
      </c>
      <c r="G27" s="14">
        <f>SUM($B$23:B27)</f>
        <v>181771.69</v>
      </c>
      <c r="H27" s="13" t="s">
        <v>48</v>
      </c>
    </row>
    <row r="28" spans="1:15" ht="15.75" customHeight="1" x14ac:dyDescent="0.35">
      <c r="A28" s="23" t="s">
        <v>53</v>
      </c>
      <c r="B28" s="20">
        <v>42228.31</v>
      </c>
      <c r="C28" s="20">
        <v>19208.310000000001</v>
      </c>
      <c r="D28" s="20">
        <v>23020</v>
      </c>
      <c r="E28" s="21">
        <v>0.45490000000000003</v>
      </c>
      <c r="F28" s="32">
        <f>(B28-B27)/B27</f>
        <v>5.6954427747528159E-2</v>
      </c>
      <c r="G28" s="20">
        <f>SUM($B$23:B28)</f>
        <v>224000</v>
      </c>
      <c r="H28" s="19" t="s">
        <v>48</v>
      </c>
    </row>
    <row r="29" spans="1:15" ht="15.75" customHeight="1" x14ac:dyDescent="0.35">
      <c r="A29" s="29" t="s">
        <v>37</v>
      </c>
      <c r="B29" s="26">
        <f>SUM(B23:B28)</f>
        <v>224000</v>
      </c>
      <c r="C29" s="26">
        <f>SUM(C23:C28)</f>
        <v>102092.41</v>
      </c>
      <c r="D29" s="26">
        <f>SUM(D23:D28)</f>
        <v>121907.59</v>
      </c>
      <c r="E29" s="27">
        <f>C29/B29</f>
        <v>0.45576968750000002</v>
      </c>
      <c r="F29" s="33"/>
      <c r="G29" s="26">
        <f>B29</f>
        <v>224000</v>
      </c>
      <c r="H29" s="33" t="s">
        <v>54</v>
      </c>
    </row>
    <row r="31" spans="1:15" ht="13.5" customHeight="1" x14ac:dyDescent="0.35">
      <c r="A31" s="4" t="s">
        <v>55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ht="13.5" customHeight="1" x14ac:dyDescent="0.35">
      <c r="A32" s="3" t="s">
        <v>56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</sheetData>
  <mergeCells count="17">
    <mergeCell ref="A10:O10"/>
    <mergeCell ref="A21:O21"/>
    <mergeCell ref="A31:O31"/>
    <mergeCell ref="A32:O32"/>
    <mergeCell ref="A6:C8"/>
    <mergeCell ref="D6:F8"/>
    <mergeCell ref="G6:I8"/>
    <mergeCell ref="J6:L8"/>
    <mergeCell ref="M6:O8"/>
    <mergeCell ref="A1:O1"/>
    <mergeCell ref="A2:O2"/>
    <mergeCell ref="A4:O4"/>
    <mergeCell ref="A5:C5"/>
    <mergeCell ref="D5:F5"/>
    <mergeCell ref="G5:I5"/>
    <mergeCell ref="J5:L5"/>
    <mergeCell ref="M5:O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9"/>
  <sheetViews>
    <sheetView showGridLines="0" topLeftCell="A11" zoomScaleNormal="100" workbookViewId="0">
      <selection sqref="A1:N1"/>
    </sheetView>
  </sheetViews>
  <sheetFormatPr defaultColWidth="8.6328125" defaultRowHeight="14.5" x14ac:dyDescent="0.35"/>
  <cols>
    <col min="1" max="1" width="30" customWidth="1"/>
    <col min="2" max="2" width="15" customWidth="1"/>
    <col min="3" max="3" width="18" customWidth="1"/>
    <col min="4" max="4" width="15" customWidth="1"/>
    <col min="5" max="5" width="18" customWidth="1"/>
    <col min="6" max="6" width="12" customWidth="1"/>
    <col min="7" max="7" width="13" customWidth="1"/>
    <col min="8" max="8" width="18" customWidth="1"/>
    <col min="9" max="9" width="14" customWidth="1"/>
    <col min="10" max="10" width="12" customWidth="1"/>
    <col min="11" max="12" width="18" customWidth="1"/>
    <col min="13" max="13" width="12" customWidth="1"/>
    <col min="14" max="14" width="40" customWidth="1"/>
  </cols>
  <sheetData>
    <row r="1" spans="1:14" ht="30" customHeight="1" x14ac:dyDescent="0.35">
      <c r="A1" s="2" t="s">
        <v>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5.75" customHeight="1" x14ac:dyDescent="0.35">
      <c r="A2" s="1" t="s">
        <v>58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 spans="1:14" ht="19.5" customHeight="1" x14ac:dyDescent="0.35">
      <c r="A4" s="9" t="s">
        <v>59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1:14" ht="15" customHeight="1" x14ac:dyDescent="0.35">
      <c r="A5" s="34" t="s">
        <v>60</v>
      </c>
      <c r="B5" s="35">
        <v>0.1</v>
      </c>
      <c r="C5" s="36" t="s">
        <v>61</v>
      </c>
    </row>
    <row r="6" spans="1:14" ht="15" customHeight="1" x14ac:dyDescent="0.35">
      <c r="A6" s="34" t="s">
        <v>62</v>
      </c>
      <c r="B6" s="37">
        <v>5</v>
      </c>
      <c r="C6" s="36" t="s">
        <v>63</v>
      </c>
    </row>
    <row r="7" spans="1:14" ht="15" customHeight="1" x14ac:dyDescent="0.35">
      <c r="A7" s="34" t="s">
        <v>64</v>
      </c>
      <c r="B7" s="38">
        <f>224000/6</f>
        <v>37333.333333333336</v>
      </c>
      <c r="C7" s="36" t="s">
        <v>65</v>
      </c>
    </row>
    <row r="8" spans="1:14" ht="15" customHeight="1" x14ac:dyDescent="0.35">
      <c r="A8" s="34" t="s">
        <v>66</v>
      </c>
      <c r="B8" s="35">
        <v>0.08</v>
      </c>
      <c r="C8" s="36" t="s">
        <v>67</v>
      </c>
    </row>
    <row r="9" spans="1:14" ht="15" customHeight="1" x14ac:dyDescent="0.35">
      <c r="A9" s="34" t="s">
        <v>68</v>
      </c>
      <c r="B9" s="35">
        <v>0.18</v>
      </c>
      <c r="C9" s="36" t="s">
        <v>69</v>
      </c>
    </row>
    <row r="10" spans="1:14" ht="15" customHeight="1" x14ac:dyDescent="0.35">
      <c r="A10" s="34" t="s">
        <v>70</v>
      </c>
      <c r="B10" s="35">
        <v>0.12</v>
      </c>
      <c r="C10" s="36" t="s">
        <v>71</v>
      </c>
    </row>
    <row r="11" spans="1:14" ht="15" customHeight="1" x14ac:dyDescent="0.35">
      <c r="A11" s="34" t="s">
        <v>72</v>
      </c>
      <c r="B11" s="35">
        <v>1</v>
      </c>
      <c r="C11" s="36" t="s">
        <v>73</v>
      </c>
    </row>
    <row r="12" spans="1:14" ht="15" customHeight="1" x14ac:dyDescent="0.35">
      <c r="A12" s="34" t="s">
        <v>74</v>
      </c>
      <c r="B12" s="35">
        <v>0.09</v>
      </c>
      <c r="C12" s="36" t="s">
        <v>75</v>
      </c>
    </row>
    <row r="13" spans="1:14" ht="15" customHeight="1" x14ac:dyDescent="0.35">
      <c r="A13" s="34" t="s">
        <v>76</v>
      </c>
      <c r="B13" s="35">
        <v>0.15</v>
      </c>
      <c r="C13" s="36" t="s">
        <v>77</v>
      </c>
    </row>
    <row r="14" spans="1:14" ht="15" customHeight="1" x14ac:dyDescent="0.35">
      <c r="A14" s="34" t="s">
        <v>78</v>
      </c>
      <c r="B14" s="35">
        <v>0.18</v>
      </c>
      <c r="C14" s="36" t="s">
        <v>79</v>
      </c>
    </row>
    <row r="15" spans="1:14" ht="15" customHeight="1" x14ac:dyDescent="0.35">
      <c r="A15" s="34" t="s">
        <v>80</v>
      </c>
      <c r="B15" s="35">
        <v>7.0000000000000007E-2</v>
      </c>
      <c r="C15" s="36" t="s">
        <v>81</v>
      </c>
    </row>
    <row r="18" spans="1:14" ht="21.75" customHeight="1" x14ac:dyDescent="0.35">
      <c r="A18" s="9" t="s">
        <v>82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ht="37.5" customHeight="1" x14ac:dyDescent="0.35">
      <c r="A19" s="12" t="s">
        <v>83</v>
      </c>
      <c r="B19" s="12" t="s">
        <v>84</v>
      </c>
      <c r="C19" s="12" t="s">
        <v>85</v>
      </c>
      <c r="D19" s="12" t="s">
        <v>5</v>
      </c>
      <c r="E19" s="12" t="s">
        <v>86</v>
      </c>
      <c r="F19" s="12" t="s">
        <v>87</v>
      </c>
      <c r="G19" s="12" t="s">
        <v>88</v>
      </c>
      <c r="H19" s="12" t="s">
        <v>89</v>
      </c>
      <c r="I19" s="12" t="s">
        <v>90</v>
      </c>
      <c r="J19" s="12" t="s">
        <v>14</v>
      </c>
      <c r="K19" s="12" t="s">
        <v>91</v>
      </c>
      <c r="L19" s="12" t="s">
        <v>92</v>
      </c>
      <c r="M19" s="12" t="s">
        <v>93</v>
      </c>
      <c r="N19" s="12" t="s">
        <v>16</v>
      </c>
    </row>
    <row r="20" spans="1:14" ht="15.75" customHeight="1" x14ac:dyDescent="0.35">
      <c r="A20" s="39" t="s">
        <v>17</v>
      </c>
      <c r="B20" s="14">
        <v>123474.6</v>
      </c>
      <c r="C20" s="14">
        <f t="shared" ref="C20:C25" si="0">B20*2</f>
        <v>246949.2</v>
      </c>
      <c r="D20" s="15">
        <v>0.62</v>
      </c>
      <c r="E20" s="14">
        <f t="shared" ref="E20:E25" si="1">C20*D20</f>
        <v>153108.50400000002</v>
      </c>
      <c r="F20" s="40">
        <v>0.08</v>
      </c>
      <c r="G20" s="40">
        <f t="shared" ref="G20:G26" si="2">1-F20</f>
        <v>0.92</v>
      </c>
      <c r="H20" s="14">
        <f t="shared" ref="H20:H25" si="3">(E20*G20)/(1+$B$5-G20)</f>
        <v>782554.576</v>
      </c>
      <c r="I20" s="14">
        <f>C20*$B$12</f>
        <v>22225.428</v>
      </c>
      <c r="J20" s="41">
        <f t="shared" ref="J20:J26" si="4">H20/I20</f>
        <v>35.20987654320988</v>
      </c>
      <c r="K20" s="16">
        <f t="shared" ref="K20:K26" si="5">ROUND(F20*100,0)</f>
        <v>8</v>
      </c>
      <c r="L20" s="14">
        <f t="shared" ref="L20:L25" si="6">H20-I20</f>
        <v>760329.14800000004</v>
      </c>
      <c r="M20" s="17" t="str">
        <f t="shared" ref="M20:M25" si="7">IF(L20&gt;100000,"AAA",IF(L20&gt;50000,"AA",IF(L20&gt;20000,"A",IF(L20&gt;5000,"BBB",IF(L20&gt;0,"BB","C")))))</f>
        <v>AAA</v>
      </c>
      <c r="N20" s="13" t="s">
        <v>94</v>
      </c>
    </row>
    <row r="21" spans="1:14" ht="15.75" customHeight="1" x14ac:dyDescent="0.35">
      <c r="A21" s="42" t="s">
        <v>21</v>
      </c>
      <c r="B21" s="20">
        <v>22245.84</v>
      </c>
      <c r="C21" s="20">
        <f t="shared" si="0"/>
        <v>44491.68</v>
      </c>
      <c r="D21" s="21">
        <v>0.35</v>
      </c>
      <c r="E21" s="20">
        <f t="shared" si="1"/>
        <v>15572.088</v>
      </c>
      <c r="F21" s="43">
        <v>0.18</v>
      </c>
      <c r="G21" s="43">
        <f t="shared" si="2"/>
        <v>0.82000000000000006</v>
      </c>
      <c r="H21" s="20">
        <f t="shared" si="3"/>
        <v>45603.971999999994</v>
      </c>
      <c r="I21" s="20">
        <f>C21*$B$13</f>
        <v>6673.7519999999995</v>
      </c>
      <c r="J21" s="44">
        <f t="shared" si="4"/>
        <v>6.833333333333333</v>
      </c>
      <c r="K21" s="22">
        <f t="shared" si="5"/>
        <v>18</v>
      </c>
      <c r="L21" s="20">
        <f t="shared" si="6"/>
        <v>38930.219999999994</v>
      </c>
      <c r="M21" s="23" t="str">
        <f t="shared" si="7"/>
        <v>A</v>
      </c>
      <c r="N21" s="19" t="s">
        <v>94</v>
      </c>
    </row>
    <row r="22" spans="1:14" ht="15.75" customHeight="1" x14ac:dyDescent="0.35">
      <c r="A22" s="39" t="s">
        <v>24</v>
      </c>
      <c r="B22" s="14">
        <v>13434.54</v>
      </c>
      <c r="C22" s="14">
        <f t="shared" si="0"/>
        <v>26869.08</v>
      </c>
      <c r="D22" s="15">
        <v>0.24</v>
      </c>
      <c r="E22" s="14">
        <f t="shared" si="1"/>
        <v>6448.5792000000001</v>
      </c>
      <c r="F22" s="40">
        <v>0.22</v>
      </c>
      <c r="G22" s="40">
        <f t="shared" si="2"/>
        <v>0.78</v>
      </c>
      <c r="H22" s="14">
        <f t="shared" si="3"/>
        <v>15718.411799999998</v>
      </c>
      <c r="I22" s="14">
        <f>C22*$B$13</f>
        <v>4030.3620000000001</v>
      </c>
      <c r="J22" s="41">
        <f t="shared" si="4"/>
        <v>3.8999999999999995</v>
      </c>
      <c r="K22" s="16">
        <f t="shared" si="5"/>
        <v>22</v>
      </c>
      <c r="L22" s="14">
        <f t="shared" si="6"/>
        <v>11688.049799999997</v>
      </c>
      <c r="M22" s="17" t="str">
        <f t="shared" si="7"/>
        <v>BBB</v>
      </c>
      <c r="N22" s="13" t="s">
        <v>94</v>
      </c>
    </row>
    <row r="23" spans="1:14" ht="15.75" customHeight="1" x14ac:dyDescent="0.35">
      <c r="A23" s="42" t="s">
        <v>95</v>
      </c>
      <c r="B23" s="20">
        <v>28946.04</v>
      </c>
      <c r="C23" s="20">
        <f t="shared" si="0"/>
        <v>57892.08</v>
      </c>
      <c r="D23" s="21">
        <v>0.3</v>
      </c>
      <c r="E23" s="20">
        <f t="shared" si="1"/>
        <v>17367.624</v>
      </c>
      <c r="F23" s="43">
        <v>0.2</v>
      </c>
      <c r="G23" s="43">
        <f t="shared" si="2"/>
        <v>0.8</v>
      </c>
      <c r="H23" s="20">
        <f t="shared" si="3"/>
        <v>46313.663999999997</v>
      </c>
      <c r="I23" s="20">
        <f>C23*$B$12</f>
        <v>5210.2871999999998</v>
      </c>
      <c r="J23" s="44">
        <f t="shared" si="4"/>
        <v>8.8888888888888893</v>
      </c>
      <c r="K23" s="22">
        <f t="shared" si="5"/>
        <v>20</v>
      </c>
      <c r="L23" s="20">
        <f t="shared" si="6"/>
        <v>41103.376799999998</v>
      </c>
      <c r="M23" s="23" t="str">
        <f t="shared" si="7"/>
        <v>A</v>
      </c>
      <c r="N23" s="19" t="s">
        <v>94</v>
      </c>
    </row>
    <row r="24" spans="1:14" ht="15.75" customHeight="1" x14ac:dyDescent="0.35">
      <c r="A24" s="39" t="s">
        <v>31</v>
      </c>
      <c r="B24" s="14">
        <v>33672.660000000003</v>
      </c>
      <c r="C24" s="14">
        <f t="shared" si="0"/>
        <v>67345.320000000007</v>
      </c>
      <c r="D24" s="15">
        <v>0.2</v>
      </c>
      <c r="E24" s="14">
        <f t="shared" si="1"/>
        <v>13469.064000000002</v>
      </c>
      <c r="F24" s="40">
        <v>0.12</v>
      </c>
      <c r="G24" s="40">
        <f t="shared" si="2"/>
        <v>0.88</v>
      </c>
      <c r="H24" s="14">
        <f t="shared" si="3"/>
        <v>53876.255999999994</v>
      </c>
      <c r="I24" s="14">
        <f>C24*$B$14</f>
        <v>12122.1576</v>
      </c>
      <c r="J24" s="41">
        <f t="shared" si="4"/>
        <v>4.4444444444444438</v>
      </c>
      <c r="K24" s="16">
        <f t="shared" si="5"/>
        <v>12</v>
      </c>
      <c r="L24" s="14">
        <f t="shared" si="6"/>
        <v>41754.098399999995</v>
      </c>
      <c r="M24" s="17" t="str">
        <f t="shared" si="7"/>
        <v>A</v>
      </c>
      <c r="N24" s="13" t="s">
        <v>94</v>
      </c>
    </row>
    <row r="25" spans="1:14" ht="15.75" customHeight="1" x14ac:dyDescent="0.35">
      <c r="A25" s="42" t="s">
        <v>34</v>
      </c>
      <c r="B25" s="20">
        <v>2226.3200000000002</v>
      </c>
      <c r="C25" s="20">
        <f t="shared" si="0"/>
        <v>4452.6400000000003</v>
      </c>
      <c r="D25" s="21">
        <v>-0.4</v>
      </c>
      <c r="E25" s="20">
        <f t="shared" si="1"/>
        <v>-1781.0560000000003</v>
      </c>
      <c r="F25" s="43">
        <v>1</v>
      </c>
      <c r="G25" s="43">
        <f t="shared" si="2"/>
        <v>0</v>
      </c>
      <c r="H25" s="20">
        <f t="shared" si="3"/>
        <v>0</v>
      </c>
      <c r="I25" s="20">
        <f>C25*$B$14</f>
        <v>801.47519999999997</v>
      </c>
      <c r="J25" s="44">
        <f t="shared" si="4"/>
        <v>0</v>
      </c>
      <c r="K25" s="22">
        <f t="shared" si="5"/>
        <v>100</v>
      </c>
      <c r="L25" s="20">
        <f t="shared" si="6"/>
        <v>-801.47519999999997</v>
      </c>
      <c r="M25" s="23" t="str">
        <f t="shared" si="7"/>
        <v>C</v>
      </c>
      <c r="N25" s="19" t="s">
        <v>94</v>
      </c>
    </row>
    <row r="26" spans="1:14" ht="18" customHeight="1" x14ac:dyDescent="0.35">
      <c r="A26" s="29" t="s">
        <v>37</v>
      </c>
      <c r="B26" s="26">
        <f>SUM(B20:B25)</f>
        <v>224000.00000000003</v>
      </c>
      <c r="C26" s="26">
        <f>SUM(C20:C25)</f>
        <v>448000.00000000006</v>
      </c>
      <c r="D26" s="27">
        <f>E26/C26</f>
        <v>0.45576964999999997</v>
      </c>
      <c r="E26" s="26">
        <f>SUM(E20:E25)</f>
        <v>204184.80320000002</v>
      </c>
      <c r="F26" s="45">
        <f>AVERAGE(F20:F25)</f>
        <v>0.3</v>
      </c>
      <c r="G26" s="45">
        <f t="shared" si="2"/>
        <v>0.7</v>
      </c>
      <c r="H26" s="26">
        <f>SUM(H20:H25)</f>
        <v>944066.8798</v>
      </c>
      <c r="I26" s="26">
        <f>SUM(I20:I25)</f>
        <v>51063.462</v>
      </c>
      <c r="J26" s="46">
        <f t="shared" si="4"/>
        <v>18.488109556692415</v>
      </c>
      <c r="K26" s="28">
        <f t="shared" si="5"/>
        <v>30</v>
      </c>
      <c r="L26" s="26">
        <f>SUM(L20:L25)</f>
        <v>893003.41780000005</v>
      </c>
      <c r="M26" s="29"/>
      <c r="N26" s="25" t="s">
        <v>96</v>
      </c>
    </row>
    <row r="28" spans="1:14" ht="13.5" customHeight="1" x14ac:dyDescent="0.35">
      <c r="A28" s="4" t="s">
        <v>55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 ht="13.5" customHeight="1" x14ac:dyDescent="0.35">
      <c r="A29" s="3" t="s">
        <v>56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</sheetData>
  <mergeCells count="6">
    <mergeCell ref="A29:N29"/>
    <mergeCell ref="A1:N1"/>
    <mergeCell ref="A2:N2"/>
    <mergeCell ref="A4:N4"/>
    <mergeCell ref="A18:N18"/>
    <mergeCell ref="A28:N2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"/>
  <sheetViews>
    <sheetView showGridLines="0" zoomScaleNormal="100" workbookViewId="0">
      <selection sqref="A1:L1"/>
    </sheetView>
  </sheetViews>
  <sheetFormatPr defaultColWidth="8.6328125" defaultRowHeight="14.5" x14ac:dyDescent="0.35"/>
  <cols>
    <col min="1" max="1" width="22" customWidth="1"/>
    <col min="2" max="3" width="18" customWidth="1"/>
    <col min="4" max="4" width="15" customWidth="1"/>
    <col min="5" max="5" width="12" customWidth="1"/>
    <col min="6" max="6" width="14" customWidth="1"/>
    <col min="7" max="7" width="15" customWidth="1"/>
    <col min="8" max="8" width="12" customWidth="1"/>
    <col min="9" max="9" width="38" customWidth="1"/>
  </cols>
  <sheetData>
    <row r="1" spans="1:12" ht="30" customHeight="1" x14ac:dyDescent="0.35">
      <c r="A1" s="2" t="s">
        <v>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spans="1:12" ht="19.5" customHeight="1" x14ac:dyDescent="0.35">
      <c r="A3" s="9" t="s">
        <v>98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ht="30" customHeight="1" x14ac:dyDescent="0.35">
      <c r="A4" s="12" t="s">
        <v>99</v>
      </c>
      <c r="B4" s="12" t="s">
        <v>100</v>
      </c>
      <c r="C4" s="12" t="s">
        <v>101</v>
      </c>
      <c r="D4" s="12" t="s">
        <v>24</v>
      </c>
      <c r="E4" s="12" t="s">
        <v>102</v>
      </c>
      <c r="F4" s="12" t="s">
        <v>103</v>
      </c>
      <c r="G4" s="12" t="s">
        <v>34</v>
      </c>
      <c r="H4" s="12" t="s">
        <v>104</v>
      </c>
      <c r="I4" s="12" t="s">
        <v>105</v>
      </c>
      <c r="J4" s="12" t="s">
        <v>106</v>
      </c>
      <c r="K4" s="12" t="s">
        <v>107</v>
      </c>
      <c r="L4" s="12" t="s">
        <v>16</v>
      </c>
    </row>
    <row r="5" spans="1:12" ht="15.75" customHeight="1" x14ac:dyDescent="0.35">
      <c r="A5" s="13" t="s">
        <v>108</v>
      </c>
      <c r="B5" s="47">
        <v>0.94</v>
      </c>
      <c r="C5" s="47">
        <v>0.84</v>
      </c>
      <c r="D5" s="47">
        <v>0.8</v>
      </c>
      <c r="E5" s="47">
        <v>0.82</v>
      </c>
      <c r="F5" s="47">
        <v>0.9</v>
      </c>
      <c r="G5" s="47">
        <v>0</v>
      </c>
      <c r="H5" s="31">
        <f>AVERAGE(B5:G5)</f>
        <v>0.71666666666666667</v>
      </c>
      <c r="I5" s="18">
        <f>H5*56044</f>
        <v>40164.866666666669</v>
      </c>
      <c r="J5" s="17" t="s">
        <v>109</v>
      </c>
      <c r="K5" s="16">
        <v>45</v>
      </c>
      <c r="L5" s="13" t="s">
        <v>110</v>
      </c>
    </row>
    <row r="6" spans="1:12" ht="15.75" customHeight="1" x14ac:dyDescent="0.35">
      <c r="A6" s="19" t="s">
        <v>111</v>
      </c>
      <c r="B6" s="48">
        <v>0.92</v>
      </c>
      <c r="C6" s="48">
        <v>0.82</v>
      </c>
      <c r="D6" s="48">
        <v>0.78</v>
      </c>
      <c r="E6" s="48">
        <v>0.8</v>
      </c>
      <c r="F6" s="48">
        <v>0.88</v>
      </c>
      <c r="G6" s="48">
        <v>0</v>
      </c>
      <c r="H6" s="32">
        <f>AVERAGE(B6:G6)</f>
        <v>0.70000000000000007</v>
      </c>
      <c r="I6" s="24">
        <f>H6*55816</f>
        <v>39071.200000000004</v>
      </c>
      <c r="J6" s="23" t="s">
        <v>109</v>
      </c>
      <c r="K6" s="22">
        <v>42</v>
      </c>
      <c r="L6" s="19" t="s">
        <v>110</v>
      </c>
    </row>
    <row r="7" spans="1:12" ht="15.75" customHeight="1" x14ac:dyDescent="0.35">
      <c r="A7" s="13" t="s">
        <v>112</v>
      </c>
      <c r="B7" s="47">
        <v>0.91</v>
      </c>
      <c r="C7" s="47">
        <v>0.81</v>
      </c>
      <c r="D7" s="47">
        <v>0.77</v>
      </c>
      <c r="E7" s="47">
        <v>0.8</v>
      </c>
      <c r="F7" s="47">
        <v>0.87</v>
      </c>
      <c r="G7" s="47">
        <v>0</v>
      </c>
      <c r="H7" s="31">
        <f>AVERAGE(B7:G7)</f>
        <v>0.69333333333333336</v>
      </c>
      <c r="I7" s="18">
        <f>H7*55966</f>
        <v>38803.093333333338</v>
      </c>
      <c r="J7" s="17" t="s">
        <v>113</v>
      </c>
      <c r="K7" s="16">
        <v>40</v>
      </c>
      <c r="L7" s="13" t="s">
        <v>110</v>
      </c>
    </row>
    <row r="8" spans="1:12" ht="15.75" customHeight="1" x14ac:dyDescent="0.35">
      <c r="A8" s="19" t="s">
        <v>114</v>
      </c>
      <c r="B8" s="48">
        <v>0.93</v>
      </c>
      <c r="C8" s="48">
        <v>0.83</v>
      </c>
      <c r="D8" s="48">
        <v>0.79</v>
      </c>
      <c r="E8" s="48">
        <v>0.81</v>
      </c>
      <c r="F8" s="48">
        <v>0.89</v>
      </c>
      <c r="G8" s="48">
        <v>0</v>
      </c>
      <c r="H8" s="32">
        <f>AVERAGE(B8:G8)</f>
        <v>0.70833333333333337</v>
      </c>
      <c r="I8" s="24">
        <f>H8*56044</f>
        <v>39697.833333333336</v>
      </c>
      <c r="J8" s="23" t="s">
        <v>109</v>
      </c>
      <c r="K8" s="22">
        <v>44</v>
      </c>
      <c r="L8" s="19" t="s">
        <v>110</v>
      </c>
    </row>
    <row r="11" spans="1:12" ht="21.75" customHeight="1" x14ac:dyDescent="0.35">
      <c r="A11" s="9" t="s">
        <v>115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ht="27.75" customHeight="1" x14ac:dyDescent="0.35">
      <c r="A12" s="12" t="s">
        <v>116</v>
      </c>
      <c r="B12" s="12" t="s">
        <v>117</v>
      </c>
      <c r="C12" s="12" t="s">
        <v>118</v>
      </c>
      <c r="D12" s="12" t="s">
        <v>119</v>
      </c>
      <c r="E12" s="12" t="s">
        <v>120</v>
      </c>
      <c r="F12" s="12" t="s">
        <v>121</v>
      </c>
      <c r="G12" s="12" t="s">
        <v>122</v>
      </c>
      <c r="H12" s="12" t="s">
        <v>123</v>
      </c>
      <c r="I12" s="12" t="s">
        <v>16</v>
      </c>
    </row>
    <row r="13" spans="1:12" ht="15" customHeight="1" x14ac:dyDescent="0.35">
      <c r="A13" s="17" t="s">
        <v>47</v>
      </c>
      <c r="B13" s="14">
        <v>35206.730000000003</v>
      </c>
      <c r="C13" s="14">
        <v>34800</v>
      </c>
      <c r="D13" s="14">
        <f t="shared" ref="D13:D18" si="0">B13-C13</f>
        <v>406.7300000000032</v>
      </c>
      <c r="E13" s="40">
        <f t="shared" ref="E13:E18" si="1">(B13-C13)/B13</f>
        <v>1.1552620763132593E-2</v>
      </c>
      <c r="F13" s="15">
        <v>0.45729999999999998</v>
      </c>
      <c r="G13" s="15">
        <v>0.45600000000000002</v>
      </c>
      <c r="H13" s="17" t="s">
        <v>124</v>
      </c>
      <c r="I13" s="13" t="s">
        <v>65</v>
      </c>
    </row>
    <row r="14" spans="1:12" ht="15" customHeight="1" x14ac:dyDescent="0.35">
      <c r="A14" s="23" t="s">
        <v>49</v>
      </c>
      <c r="B14" s="20">
        <v>32401.58</v>
      </c>
      <c r="C14" s="20">
        <v>33000</v>
      </c>
      <c r="D14" s="20">
        <f t="shared" si="0"/>
        <v>-598.41999999999825</v>
      </c>
      <c r="E14" s="43">
        <f t="shared" si="1"/>
        <v>-1.8468852444849856E-2</v>
      </c>
      <c r="F14" s="21">
        <v>0.45529999999999998</v>
      </c>
      <c r="G14" s="21">
        <v>0.45400000000000001</v>
      </c>
      <c r="H14" s="23" t="s">
        <v>124</v>
      </c>
      <c r="I14" s="19" t="s">
        <v>65</v>
      </c>
    </row>
    <row r="15" spans="1:12" ht="15" customHeight="1" x14ac:dyDescent="0.35">
      <c r="A15" s="17" t="s">
        <v>50</v>
      </c>
      <c r="B15" s="14">
        <v>36952.18</v>
      </c>
      <c r="C15" s="14">
        <v>36500</v>
      </c>
      <c r="D15" s="14">
        <f t="shared" si="0"/>
        <v>452.18000000000029</v>
      </c>
      <c r="E15" s="40">
        <f t="shared" si="1"/>
        <v>1.223689644291623E-2</v>
      </c>
      <c r="F15" s="15">
        <v>0.4572</v>
      </c>
      <c r="G15" s="15">
        <v>0.45500000000000002</v>
      </c>
      <c r="H15" s="17" t="s">
        <v>124</v>
      </c>
      <c r="I15" s="13" t="s">
        <v>65</v>
      </c>
    </row>
    <row r="16" spans="1:12" ht="15" customHeight="1" x14ac:dyDescent="0.35">
      <c r="A16" s="23" t="s">
        <v>51</v>
      </c>
      <c r="B16" s="20">
        <v>37258.379999999997</v>
      </c>
      <c r="C16" s="20">
        <v>37000</v>
      </c>
      <c r="D16" s="20">
        <f t="shared" si="0"/>
        <v>258.37999999999738</v>
      </c>
      <c r="E16" s="43">
        <f t="shared" si="1"/>
        <v>6.9348157380969703E-3</v>
      </c>
      <c r="F16" s="21">
        <v>0.45700000000000002</v>
      </c>
      <c r="G16" s="21">
        <v>0.45600000000000002</v>
      </c>
      <c r="H16" s="23" t="s">
        <v>124</v>
      </c>
      <c r="I16" s="19" t="s">
        <v>65</v>
      </c>
    </row>
    <row r="17" spans="1:12" ht="15" customHeight="1" x14ac:dyDescent="0.35">
      <c r="A17" s="17" t="s">
        <v>52</v>
      </c>
      <c r="B17" s="14">
        <v>39952.82</v>
      </c>
      <c r="C17" s="14">
        <v>39500</v>
      </c>
      <c r="D17" s="14">
        <f t="shared" si="0"/>
        <v>452.81999999999971</v>
      </c>
      <c r="E17" s="40">
        <f t="shared" si="1"/>
        <v>1.133386829765708E-2</v>
      </c>
      <c r="F17" s="15">
        <v>0.45329999999999998</v>
      </c>
      <c r="G17" s="15">
        <v>0.45400000000000001</v>
      </c>
      <c r="H17" s="17" t="s">
        <v>124</v>
      </c>
      <c r="I17" s="13" t="s">
        <v>65</v>
      </c>
    </row>
    <row r="18" spans="1:12" ht="15" customHeight="1" x14ac:dyDescent="0.35">
      <c r="A18" s="23" t="s">
        <v>53</v>
      </c>
      <c r="B18" s="20">
        <v>42228.31</v>
      </c>
      <c r="C18" s="20">
        <v>41800</v>
      </c>
      <c r="D18" s="20">
        <f t="shared" si="0"/>
        <v>428.30999999999767</v>
      </c>
      <c r="E18" s="43">
        <f t="shared" si="1"/>
        <v>1.0142721790192355E-2</v>
      </c>
      <c r="F18" s="21">
        <v>0.45490000000000003</v>
      </c>
      <c r="G18" s="21">
        <v>0.45500000000000002</v>
      </c>
      <c r="H18" s="23" t="s">
        <v>124</v>
      </c>
      <c r="I18" s="19" t="s">
        <v>65</v>
      </c>
    </row>
    <row r="19" spans="1:12" ht="15" customHeight="1" x14ac:dyDescent="0.35">
      <c r="A19" s="49" t="s">
        <v>125</v>
      </c>
      <c r="B19" s="50" t="s">
        <v>126</v>
      </c>
      <c r="C19" s="50">
        <v>43850</v>
      </c>
      <c r="D19" s="50"/>
      <c r="E19" s="51"/>
      <c r="F19" s="52"/>
      <c r="G19" s="52">
        <v>0.45800000000000002</v>
      </c>
      <c r="H19" s="49" t="s">
        <v>127</v>
      </c>
      <c r="I19" s="53" t="s">
        <v>128</v>
      </c>
    </row>
    <row r="20" spans="1:12" ht="15" customHeight="1" x14ac:dyDescent="0.35">
      <c r="A20" s="49" t="s">
        <v>129</v>
      </c>
      <c r="B20" s="50" t="s">
        <v>126</v>
      </c>
      <c r="C20" s="50">
        <v>45050</v>
      </c>
      <c r="D20" s="50"/>
      <c r="E20" s="51"/>
      <c r="F20" s="52"/>
      <c r="G20" s="52">
        <v>0.45900000000000002</v>
      </c>
      <c r="H20" s="49" t="s">
        <v>127</v>
      </c>
      <c r="I20" s="53" t="s">
        <v>128</v>
      </c>
    </row>
    <row r="21" spans="1:12" ht="15" customHeight="1" x14ac:dyDescent="0.35">
      <c r="A21" s="49" t="s">
        <v>130</v>
      </c>
      <c r="B21" s="50" t="s">
        <v>126</v>
      </c>
      <c r="C21" s="50">
        <v>46300</v>
      </c>
      <c r="D21" s="50"/>
      <c r="E21" s="51"/>
      <c r="F21" s="52"/>
      <c r="G21" s="52">
        <v>0.46</v>
      </c>
      <c r="H21" s="49" t="s">
        <v>127</v>
      </c>
      <c r="I21" s="53" t="s">
        <v>128</v>
      </c>
    </row>
    <row r="22" spans="1:12" ht="15" customHeight="1" x14ac:dyDescent="0.35">
      <c r="A22" s="49" t="s">
        <v>131</v>
      </c>
      <c r="B22" s="50" t="s">
        <v>126</v>
      </c>
      <c r="C22" s="50">
        <v>47600</v>
      </c>
      <c r="D22" s="50"/>
      <c r="E22" s="51"/>
      <c r="F22" s="52"/>
      <c r="G22" s="52">
        <v>0.46</v>
      </c>
      <c r="H22" s="49" t="s">
        <v>127</v>
      </c>
      <c r="I22" s="53" t="s">
        <v>128</v>
      </c>
    </row>
    <row r="23" spans="1:12" ht="15" customHeight="1" x14ac:dyDescent="0.35">
      <c r="A23" s="49" t="s">
        <v>132</v>
      </c>
      <c r="B23" s="50" t="s">
        <v>126</v>
      </c>
      <c r="C23" s="50">
        <v>49000</v>
      </c>
      <c r="D23" s="50"/>
      <c r="E23" s="51"/>
      <c r="F23" s="52"/>
      <c r="G23" s="52">
        <v>0.46100000000000002</v>
      </c>
      <c r="H23" s="49" t="s">
        <v>127</v>
      </c>
      <c r="I23" s="53" t="s">
        <v>128</v>
      </c>
    </row>
    <row r="24" spans="1:12" ht="15" customHeight="1" x14ac:dyDescent="0.35">
      <c r="A24" s="49" t="s">
        <v>133</v>
      </c>
      <c r="B24" s="50" t="s">
        <v>126</v>
      </c>
      <c r="C24" s="50">
        <v>50350</v>
      </c>
      <c r="D24" s="50"/>
      <c r="E24" s="51"/>
      <c r="F24" s="52"/>
      <c r="G24" s="52">
        <v>0.46200000000000002</v>
      </c>
      <c r="H24" s="49" t="s">
        <v>127</v>
      </c>
      <c r="I24" s="53" t="s">
        <v>128</v>
      </c>
    </row>
    <row r="26" spans="1:12" ht="13.5" customHeight="1" x14ac:dyDescent="0.35">
      <c r="A26" s="4" t="s">
        <v>55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13.5" customHeight="1" x14ac:dyDescent="0.35">
      <c r="A27" s="3" t="s">
        <v>56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</sheetData>
  <mergeCells count="5">
    <mergeCell ref="A1:L1"/>
    <mergeCell ref="A3:L3"/>
    <mergeCell ref="A11:L11"/>
    <mergeCell ref="A26:L26"/>
    <mergeCell ref="A27:L2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"/>
  <sheetViews>
    <sheetView showGridLines="0" zoomScaleNormal="100" workbookViewId="0">
      <selection sqref="A1:K1"/>
    </sheetView>
  </sheetViews>
  <sheetFormatPr defaultColWidth="8.6328125" defaultRowHeight="14.5" x14ac:dyDescent="0.35"/>
  <cols>
    <col min="1" max="1" width="28" customWidth="1"/>
    <col min="2" max="2" width="18" customWidth="1"/>
    <col min="3" max="3" width="10" customWidth="1"/>
    <col min="4" max="4" width="13" customWidth="1"/>
    <col min="5" max="5" width="15" customWidth="1"/>
    <col min="6" max="6" width="14" customWidth="1"/>
    <col min="7" max="7" width="13" customWidth="1"/>
    <col min="8" max="8" width="22" customWidth="1"/>
    <col min="9" max="9" width="40" customWidth="1"/>
    <col min="10" max="10" width="12" customWidth="1"/>
    <col min="11" max="11" width="38" customWidth="1"/>
  </cols>
  <sheetData>
    <row r="1" spans="1:11" ht="30" customHeight="1" x14ac:dyDescent="0.35">
      <c r="A1" s="2" t="s">
        <v>134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spans="1:11" ht="19.5" customHeight="1" x14ac:dyDescent="0.35">
      <c r="A3" s="9" t="s">
        <v>135</v>
      </c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ht="37.5" customHeight="1" x14ac:dyDescent="0.35">
      <c r="A4" s="12" t="s">
        <v>136</v>
      </c>
      <c r="B4" s="12" t="s">
        <v>137</v>
      </c>
      <c r="C4" s="12" t="s">
        <v>138</v>
      </c>
      <c r="D4" s="12" t="s">
        <v>139</v>
      </c>
      <c r="E4" s="12" t="s">
        <v>140</v>
      </c>
      <c r="F4" s="12" t="s">
        <v>141</v>
      </c>
      <c r="G4" s="12" t="s">
        <v>142</v>
      </c>
      <c r="H4" s="12" t="s">
        <v>143</v>
      </c>
      <c r="I4" s="12" t="s">
        <v>144</v>
      </c>
      <c r="J4" s="12" t="s">
        <v>145</v>
      </c>
      <c r="K4" s="12" t="s">
        <v>16</v>
      </c>
    </row>
    <row r="5" spans="1:11" ht="19.5" customHeight="1" x14ac:dyDescent="0.35">
      <c r="A5" s="13" t="s">
        <v>17</v>
      </c>
      <c r="B5" s="54">
        <v>4.66</v>
      </c>
      <c r="C5" s="16">
        <v>47</v>
      </c>
      <c r="D5" s="55">
        <v>4.6699999999999998E-2</v>
      </c>
      <c r="E5" s="55">
        <v>0.95789999999999997</v>
      </c>
      <c r="F5" s="17" t="s">
        <v>146</v>
      </c>
      <c r="G5" s="31">
        <v>0.08</v>
      </c>
      <c r="H5" s="14">
        <f>123474.6*0.08</f>
        <v>9877.9680000000008</v>
      </c>
      <c r="I5" s="56" t="s">
        <v>147</v>
      </c>
      <c r="J5" s="57" t="s">
        <v>148</v>
      </c>
    </row>
    <row r="6" spans="1:11" ht="19.5" customHeight="1" x14ac:dyDescent="0.35">
      <c r="A6" s="19" t="s">
        <v>21</v>
      </c>
      <c r="B6" s="58">
        <v>4.42</v>
      </c>
      <c r="C6" s="22">
        <v>40</v>
      </c>
      <c r="D6" s="59">
        <v>5.1700000000000003E-2</v>
      </c>
      <c r="E6" s="59">
        <v>0.94579999999999997</v>
      </c>
      <c r="F6" s="23" t="s">
        <v>149</v>
      </c>
      <c r="G6" s="32">
        <v>0.18</v>
      </c>
      <c r="H6" s="20">
        <f>22245.84*0.18</f>
        <v>4004.2511999999997</v>
      </c>
      <c r="I6" s="60" t="s">
        <v>150</v>
      </c>
      <c r="J6" s="61" t="s">
        <v>151</v>
      </c>
    </row>
    <row r="7" spans="1:11" ht="19.5" customHeight="1" x14ac:dyDescent="0.35">
      <c r="A7" s="13" t="s">
        <v>24</v>
      </c>
      <c r="B7" s="54">
        <v>4.32</v>
      </c>
      <c r="C7" s="16">
        <v>37</v>
      </c>
      <c r="D7" s="55">
        <v>5.2699999999999997E-2</v>
      </c>
      <c r="E7" s="55">
        <v>0.94079999999999997</v>
      </c>
      <c r="F7" s="17" t="s">
        <v>149</v>
      </c>
      <c r="G7" s="31">
        <v>0.22</v>
      </c>
      <c r="H7" s="14">
        <f>13434.54*0.22</f>
        <v>2955.5988000000002</v>
      </c>
      <c r="I7" s="56" t="s">
        <v>152</v>
      </c>
      <c r="J7" s="62" t="s">
        <v>151</v>
      </c>
    </row>
    <row r="8" spans="1:11" ht="19.5" customHeight="1" x14ac:dyDescent="0.35">
      <c r="A8" s="19" t="s">
        <v>153</v>
      </c>
      <c r="B8" s="58">
        <v>4.37</v>
      </c>
      <c r="C8" s="22">
        <v>38</v>
      </c>
      <c r="D8" s="59">
        <v>5.2600000000000001E-2</v>
      </c>
      <c r="E8" s="59">
        <v>0.94350000000000001</v>
      </c>
      <c r="F8" s="23" t="s">
        <v>149</v>
      </c>
      <c r="G8" s="32">
        <v>0.2</v>
      </c>
      <c r="H8" s="20">
        <f>28946.04*0.2</f>
        <v>5789.2080000000005</v>
      </c>
      <c r="I8" s="60" t="s">
        <v>154</v>
      </c>
      <c r="J8" s="63" t="s">
        <v>148</v>
      </c>
    </row>
    <row r="9" spans="1:11" ht="19.5" customHeight="1" x14ac:dyDescent="0.35">
      <c r="A9" s="13" t="s">
        <v>31</v>
      </c>
      <c r="B9" s="54">
        <v>4.3600000000000003</v>
      </c>
      <c r="C9" s="16">
        <v>38</v>
      </c>
      <c r="D9" s="55">
        <v>5.1499999999999997E-2</v>
      </c>
      <c r="E9" s="55">
        <v>0.94299999999999995</v>
      </c>
      <c r="F9" s="17" t="s">
        <v>149</v>
      </c>
      <c r="G9" s="31">
        <v>0.12</v>
      </c>
      <c r="H9" s="14">
        <f>33672.66*0.12</f>
        <v>4040.7192000000005</v>
      </c>
      <c r="I9" s="56" t="s">
        <v>155</v>
      </c>
      <c r="J9" s="57" t="s">
        <v>148</v>
      </c>
    </row>
    <row r="10" spans="1:11" ht="19.5" customHeight="1" x14ac:dyDescent="0.35">
      <c r="A10" s="64" t="s">
        <v>34</v>
      </c>
      <c r="B10" s="65">
        <v>3.49</v>
      </c>
      <c r="C10" s="66">
        <v>22</v>
      </c>
      <c r="D10" s="67">
        <v>0.09</v>
      </c>
      <c r="E10" s="67">
        <v>0.89949999999999997</v>
      </c>
      <c r="F10" s="68" t="s">
        <v>156</v>
      </c>
      <c r="G10" s="69">
        <v>1</v>
      </c>
      <c r="H10" s="70">
        <f>2226.32*1</f>
        <v>2226.3200000000002</v>
      </c>
      <c r="I10" s="71" t="s">
        <v>157</v>
      </c>
      <c r="J10" s="72" t="s">
        <v>158</v>
      </c>
    </row>
    <row r="11" spans="1:11" ht="18" customHeight="1" x14ac:dyDescent="0.35">
      <c r="A11" s="29" t="s">
        <v>159</v>
      </c>
      <c r="B11" s="33"/>
      <c r="C11" s="33"/>
      <c r="D11" s="33"/>
      <c r="E11" s="33"/>
      <c r="F11" s="33"/>
      <c r="G11" s="45">
        <f>AVERAGE(G5:G10)</f>
        <v>0.3</v>
      </c>
      <c r="H11" s="26">
        <f>SUM(H5:H10)</f>
        <v>28894.065199999997</v>
      </c>
      <c r="I11" s="33"/>
      <c r="J11" s="33"/>
      <c r="K11" s="33"/>
    </row>
    <row r="13" spans="1:11" ht="13.5" customHeight="1" x14ac:dyDescent="0.35">
      <c r="A13" s="4" t="s">
        <v>55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ht="13.5" customHeight="1" x14ac:dyDescent="0.35">
      <c r="A14" s="3" t="s">
        <v>56</v>
      </c>
      <c r="B14" s="3"/>
      <c r="C14" s="3"/>
      <c r="D14" s="3"/>
      <c r="E14" s="3"/>
      <c r="F14" s="3"/>
      <c r="G14" s="3"/>
      <c r="H14" s="3"/>
      <c r="I14" s="3"/>
      <c r="J14" s="3"/>
      <c r="K14" s="3"/>
    </row>
  </sheetData>
  <mergeCells count="4">
    <mergeCell ref="A1:K1"/>
    <mergeCell ref="A3:K3"/>
    <mergeCell ref="A13:K13"/>
    <mergeCell ref="A14:K1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showGridLines="0" zoomScaleNormal="100" workbookViewId="0">
      <selection sqref="A1:E1"/>
    </sheetView>
  </sheetViews>
  <sheetFormatPr defaultColWidth="8.6328125" defaultRowHeight="14.5" x14ac:dyDescent="0.35"/>
  <cols>
    <col min="1" max="1" width="38" customWidth="1"/>
    <col min="2" max="2" width="72" customWidth="1"/>
    <col min="3" max="3" width="42" customWidth="1"/>
    <col min="4" max="4" width="20" customWidth="1"/>
    <col min="5" max="5" width="14" customWidth="1"/>
  </cols>
  <sheetData>
    <row r="1" spans="1:5" ht="30" customHeight="1" x14ac:dyDescent="0.35">
      <c r="A1" s="2" t="s">
        <v>160</v>
      </c>
      <c r="B1" s="2"/>
      <c r="C1" s="2"/>
      <c r="D1" s="2"/>
      <c r="E1" s="2"/>
    </row>
    <row r="3" spans="1:5" ht="21.75" customHeight="1" x14ac:dyDescent="0.35">
      <c r="A3" s="73" t="s">
        <v>161</v>
      </c>
      <c r="B3" s="73" t="s">
        <v>162</v>
      </c>
      <c r="C3" s="73" t="s">
        <v>163</v>
      </c>
      <c r="D3" s="73" t="s">
        <v>164</v>
      </c>
      <c r="E3" s="73" t="s">
        <v>165</v>
      </c>
    </row>
    <row r="4" spans="1:5" ht="24" customHeight="1" x14ac:dyDescent="0.35">
      <c r="A4" s="74" t="s">
        <v>166</v>
      </c>
      <c r="B4" s="74" t="s">
        <v>167</v>
      </c>
      <c r="C4" s="74" t="s">
        <v>168</v>
      </c>
      <c r="D4" s="74" t="s">
        <v>169</v>
      </c>
      <c r="E4" s="74" t="s">
        <v>53</v>
      </c>
    </row>
    <row r="5" spans="1:5" ht="24" customHeight="1" x14ac:dyDescent="0.35">
      <c r="A5" s="75" t="s">
        <v>170</v>
      </c>
      <c r="B5" s="75" t="s">
        <v>171</v>
      </c>
      <c r="C5" s="75" t="s">
        <v>172</v>
      </c>
      <c r="D5" s="75" t="s">
        <v>173</v>
      </c>
      <c r="E5" s="75" t="s">
        <v>53</v>
      </c>
    </row>
    <row r="6" spans="1:5" ht="24" customHeight="1" x14ac:dyDescent="0.35">
      <c r="A6" s="74" t="s">
        <v>174</v>
      </c>
      <c r="B6" s="74" t="s">
        <v>175</v>
      </c>
      <c r="C6" s="74" t="s">
        <v>176</v>
      </c>
      <c r="D6" s="74" t="s">
        <v>177</v>
      </c>
      <c r="E6" s="74" t="s">
        <v>53</v>
      </c>
    </row>
    <row r="7" spans="1:5" ht="24" customHeight="1" x14ac:dyDescent="0.35">
      <c r="A7" s="75" t="s">
        <v>178</v>
      </c>
      <c r="B7" s="75" t="s">
        <v>179</v>
      </c>
      <c r="C7" s="75" t="s">
        <v>180</v>
      </c>
      <c r="D7" s="75" t="s">
        <v>173</v>
      </c>
      <c r="E7" s="75" t="s">
        <v>53</v>
      </c>
    </row>
    <row r="8" spans="1:5" ht="24" customHeight="1" x14ac:dyDescent="0.35">
      <c r="A8" s="74" t="s">
        <v>181</v>
      </c>
      <c r="B8" s="74" t="s">
        <v>182</v>
      </c>
      <c r="C8" s="74" t="s">
        <v>183</v>
      </c>
      <c r="D8" s="74" t="s">
        <v>184</v>
      </c>
      <c r="E8" s="74" t="s">
        <v>53</v>
      </c>
    </row>
    <row r="9" spans="1:5" ht="24" customHeight="1" x14ac:dyDescent="0.35">
      <c r="A9" s="75" t="s">
        <v>185</v>
      </c>
      <c r="B9" s="75" t="s">
        <v>186</v>
      </c>
      <c r="C9" s="75" t="s">
        <v>187</v>
      </c>
      <c r="D9" s="75" t="s">
        <v>184</v>
      </c>
      <c r="E9" s="75" t="s">
        <v>53</v>
      </c>
    </row>
    <row r="10" spans="1:5" ht="24" customHeight="1" x14ac:dyDescent="0.35">
      <c r="A10" s="74" t="s">
        <v>188</v>
      </c>
      <c r="B10" s="74" t="s">
        <v>189</v>
      </c>
      <c r="C10" s="74" t="s">
        <v>190</v>
      </c>
      <c r="D10" s="74" t="s">
        <v>191</v>
      </c>
      <c r="E10" s="74" t="s">
        <v>53</v>
      </c>
    </row>
    <row r="11" spans="1:5" ht="24" customHeight="1" x14ac:dyDescent="0.35">
      <c r="A11" s="75" t="s">
        <v>192</v>
      </c>
      <c r="B11" s="75" t="s">
        <v>193</v>
      </c>
      <c r="C11" s="75" t="s">
        <v>194</v>
      </c>
      <c r="D11" s="75" t="s">
        <v>191</v>
      </c>
      <c r="E11" s="75" t="s">
        <v>53</v>
      </c>
    </row>
    <row r="13" spans="1:5" ht="13.5" customHeight="1" x14ac:dyDescent="0.35">
      <c r="A13" s="4" t="s">
        <v>55</v>
      </c>
      <c r="B13" s="4"/>
      <c r="C13" s="4"/>
      <c r="D13" s="4"/>
      <c r="E13" s="4"/>
    </row>
    <row r="14" spans="1:5" ht="13.5" customHeight="1" x14ac:dyDescent="0.35">
      <c r="A14" s="3" t="s">
        <v>56</v>
      </c>
      <c r="B14" s="3"/>
      <c r="C14" s="3"/>
      <c r="D14" s="3"/>
      <c r="E14" s="3"/>
    </row>
  </sheetData>
  <mergeCells count="3">
    <mergeCell ref="A1:E1"/>
    <mergeCell ref="A13:E13"/>
    <mergeCell ref="A14:E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CLV Dashboard</vt:lpstr>
      <vt:lpstr>CLV Prediction Model</vt:lpstr>
      <vt:lpstr>Cohort &amp; Retention</vt:lpstr>
      <vt:lpstr>Churn Risk Register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Rahima Akter Dity</cp:lastModifiedBy>
  <cp:revision>0</cp:revision>
  <dcterms:created xsi:type="dcterms:W3CDTF">2026-06-28T05:52:31Z</dcterms:created>
  <dcterms:modified xsi:type="dcterms:W3CDTF">2026-06-28T06:51:15Z</dcterms:modified>
  <dc:language>en-US</dc:language>
</cp:coreProperties>
</file>